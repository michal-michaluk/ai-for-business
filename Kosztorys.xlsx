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180" yWindow="23040" windowWidth="25960" windowHeight="18980" tabRatio="600" firstSheet="0" activeTab="0" autoFilterDateGrouping="1"/>
  </bookViews>
  <sheets>
    <sheet xmlns:r="http://schemas.openxmlformats.org/officeDocument/2006/relationships" name="Offer Overview" sheetId="1" state="visible" r:id="rId1"/>
    <sheet xmlns:r="http://schemas.openxmlformats.org/officeDocument/2006/relationships" name="Podsumowanie" sheetId="2" state="visible" r:id="rId2"/>
    <sheet xmlns:r="http://schemas.openxmlformats.org/officeDocument/2006/relationships" name="Central Banking" sheetId="3" state="visible" r:id="rId3"/>
    <sheet xmlns:r="http://schemas.openxmlformats.org/officeDocument/2006/relationships" name="Capital Markets" sheetId="4" state="visible" r:id="rId4"/>
    <sheet xmlns:r="http://schemas.openxmlformats.org/officeDocument/2006/relationships" name="Refactor Capital Markets" sheetId="5" state="visible" r:id="rId5"/>
    <sheet xmlns:r="http://schemas.openxmlformats.org/officeDocument/2006/relationships" name="Narzędzia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[$PLN]\ * #,##0.00_);_([$PLN]\ * \(#,##0.00\);_([$PLN]\ * &quot;-&quot;??_);_(@_)"/>
    <numFmt numFmtId="165" formatCode="#,##0 &quot;PLN&quot;"/>
  </numFmts>
  <fonts count="25">
    <font>
      <name val="Arial"/>
      <color rgb="FF000000"/>
      <sz val="10"/>
      <scheme val="minor"/>
    </font>
    <font>
      <name val="Calibri"/>
      <family val="2"/>
      <b val="1"/>
      <color theme="1"/>
      <sz val="14"/>
    </font>
    <font>
      <name val="Aptos"/>
      <color theme="1"/>
      <sz val="11"/>
    </font>
    <font>
      <name val="Arial"/>
      <family val="2"/>
      <color theme="1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theme="1"/>
      <sz val="11"/>
    </font>
    <font>
      <name val="Aptos"/>
      <b val="1"/>
      <color theme="1"/>
      <sz val="11"/>
    </font>
    <font>
      <name val="Arial"/>
      <family val="2"/>
      <color theme="1"/>
      <sz val="11"/>
    </font>
    <font>
      <name val="Calibri"/>
      <family val="2"/>
      <b val="1"/>
      <color theme="1"/>
      <sz val="11"/>
    </font>
    <font>
      <name val="Arial"/>
      <family val="2"/>
      <color rgb="FF000000"/>
      <sz val="10"/>
      <scheme val="minor"/>
    </font>
    <font>
      <name val="Arial"/>
      <family val="2"/>
      <b val="1"/>
      <color rgb="FF000000"/>
      <sz val="10"/>
      <scheme val="minor"/>
    </font>
    <font>
      <name val="Arial"/>
      <family val="2"/>
      <i val="1"/>
      <color rgb="FF000000"/>
      <sz val="10"/>
      <scheme val="minor"/>
    </font>
    <font>
      <name val="Calibri"/>
      <b val="1"/>
      <sz val="14"/>
    </font>
    <font>
      <name val="Calibri"/>
      <b val="1"/>
      <sz val="13"/>
    </font>
    <font>
      <name val="Aptos"/>
      <sz val="11"/>
    </font>
    <font>
      <name val="Aptos"/>
      <b val="1"/>
      <sz val="11"/>
    </font>
    <font>
      <name val="Aptos"/>
      <sz val="10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color rgb="001A1A1A"/>
      <sz val="11"/>
    </font>
    <font>
      <name val="Calibri"/>
      <b val="1"/>
      <color rgb="001F3864"/>
      <sz val="11"/>
    </font>
    <font>
      <name val="Calibri"/>
      <b val="1"/>
      <color rgb="00FFFFFF"/>
      <sz val="11"/>
    </font>
    <font>
      <name val="Calibri"/>
      <b val="1"/>
      <color rgb="001A1A1A"/>
      <sz val="11"/>
    </font>
    <font>
      <name val="Calibri"/>
      <color rgb="001A1A1A"/>
      <sz val="10"/>
    </font>
    <font>
      <name val="Calibri"/>
      <b val="1"/>
      <color rgb="001F3864"/>
      <sz val="12"/>
    </font>
  </fonts>
  <fills count="8">
    <fill>
      <patternFill/>
    </fill>
    <fill>
      <patternFill patternType="gray125"/>
    </fill>
    <fill>
      <patternFill patternType="solid">
        <fgColor rgb="FFD9EAF7"/>
        <bgColor rgb="FFD9EAF7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  <fill>
      <patternFill patternType="solid">
        <fgColor rgb="002B5B84"/>
        <bgColor rgb="002B5B84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2">
    <xf numFmtId="0" fontId="0" fillId="0" borderId="0"/>
    <xf numFmtId="44" fontId="9" fillId="0" borderId="0"/>
  </cellStyleXfs>
  <cellXfs count="80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/>
    </xf>
    <xf numFmtId="0" fontId="6" fillId="2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wrapText="1"/>
    </xf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horizontal="left" vertical="top" wrapText="1"/>
    </xf>
    <xf numFmtId="0" fontId="7" fillId="0" borderId="0" pivotButton="0" quotePrefix="0" xfId="0"/>
    <xf numFmtId="0" fontId="6" fillId="0" borderId="0" applyAlignment="1" pivotButton="0" quotePrefix="0" xfId="0">
      <alignment horizontal="right"/>
    </xf>
    <xf numFmtId="0" fontId="8" fillId="0" borderId="0" applyAlignment="1" pivotButton="0" quotePrefix="0" xfId="0">
      <alignment vertical="top"/>
    </xf>
    <xf numFmtId="164" fontId="3" fillId="0" borderId="0" pivotButton="0" quotePrefix="0" xfId="1"/>
    <xf numFmtId="164" fontId="6" fillId="2" borderId="0" pivotButton="0" quotePrefix="0" xfId="1"/>
    <xf numFmtId="164" fontId="0" fillId="0" borderId="0" pivotButton="0" quotePrefix="0" xfId="1"/>
    <xf numFmtId="164" fontId="2" fillId="0" borderId="0" applyAlignment="1" pivotButton="0" quotePrefix="0" xfId="1">
      <alignment vertical="top"/>
    </xf>
    <xf numFmtId="164" fontId="2" fillId="0" borderId="0" applyAlignment="1" pivotButton="0" quotePrefix="0" xfId="1">
      <alignment horizontal="right" vertical="top"/>
    </xf>
    <xf numFmtId="164" fontId="7" fillId="0" borderId="0" applyAlignment="1" pivotButton="0" quotePrefix="0" xfId="1">
      <alignment horizontal="right" vertical="top"/>
    </xf>
    <xf numFmtId="164" fontId="2" fillId="0" borderId="0" applyAlignment="1" pivotButton="0" quotePrefix="0" xfId="1">
      <alignment horizontal="right"/>
    </xf>
    <xf numFmtId="164" fontId="2" fillId="0" borderId="0" pivotButton="0" quotePrefix="0" xfId="1"/>
    <xf numFmtId="164" fontId="6" fillId="0" borderId="0" applyAlignment="1" pivotButton="0" quotePrefix="0" xfId="1">
      <alignment horizontal="right"/>
    </xf>
    <xf numFmtId="164" fontId="2" fillId="0" borderId="0" applyAlignment="1" pivotButton="0" quotePrefix="0" xfId="0">
      <alignment horizontal="right"/>
    </xf>
    <xf numFmtId="164" fontId="0" fillId="0" borderId="0" pivotButton="0" quotePrefix="0" xfId="0"/>
    <xf numFmtId="164" fontId="6" fillId="2" borderId="0" pivotButton="0" quotePrefix="0" xfId="0"/>
    <xf numFmtId="164" fontId="3" fillId="0" borderId="0" pivotButton="0" quotePrefix="0" xfId="0"/>
    <xf numFmtId="164" fontId="4" fillId="0" borderId="0" pivotButton="0" quotePrefix="0" xfId="1"/>
    <xf numFmtId="164" fontId="2" fillId="0" borderId="0" pivotButton="0" quotePrefix="0" xfId="0"/>
    <xf numFmtId="164" fontId="6" fillId="0" borderId="0" applyAlignment="1" pivotButton="0" quotePrefix="0" xfId="0">
      <alignment horizontal="right"/>
    </xf>
    <xf numFmtId="0" fontId="6" fillId="0" borderId="0" applyAlignment="1" pivotButton="0" quotePrefix="0" xfId="0">
      <alignment vertical="top"/>
    </xf>
    <xf numFmtId="164" fontId="9" fillId="0" borderId="0" pivotButton="0" quotePrefix="0" xfId="1"/>
    <xf numFmtId="164" fontId="10" fillId="0" borderId="0" pivotButton="0" quotePrefix="0" xfId="1"/>
    <xf numFmtId="0" fontId="10" fillId="0" borderId="0" pivotButton="0" quotePrefix="0" xfId="0"/>
    <xf numFmtId="0" fontId="6" fillId="3" borderId="0" pivotButton="0" quotePrefix="0" xfId="0"/>
    <xf numFmtId="0" fontId="6" fillId="3" borderId="0" applyAlignment="1" pivotButton="0" quotePrefix="0" xfId="0">
      <alignment wrapText="1"/>
    </xf>
    <xf numFmtId="0" fontId="2" fillId="3" borderId="0" pivotButton="0" quotePrefix="0" xfId="0"/>
    <xf numFmtId="164" fontId="3" fillId="3" borderId="0" pivotButton="0" quotePrefix="0" xfId="1"/>
    <xf numFmtId="164" fontId="3" fillId="3" borderId="0" pivotButton="0" quotePrefix="0" xfId="0"/>
    <xf numFmtId="0" fontId="2" fillId="3" borderId="0" applyAlignment="1" pivotButton="0" quotePrefix="0" xfId="0">
      <alignment horizontal="right"/>
    </xf>
    <xf numFmtId="0" fontId="2" fillId="3" borderId="0" applyAlignment="1" pivotButton="0" quotePrefix="0" xfId="0">
      <alignment vertical="top"/>
    </xf>
    <xf numFmtId="164" fontId="4" fillId="3" borderId="0" pivotButton="0" quotePrefix="0" xfId="1"/>
    <xf numFmtId="0" fontId="2" fillId="0" borderId="0" applyAlignment="1" pivotButton="0" quotePrefix="0" xfId="0">
      <alignment vertical="top" wrapText="1"/>
    </xf>
    <xf numFmtId="164" fontId="2" fillId="3" borderId="0" pivotButton="0" quotePrefix="0" xfId="0"/>
    <xf numFmtId="164" fontId="0" fillId="3" borderId="0" pivotButton="0" quotePrefix="0" xfId="0"/>
    <xf numFmtId="164" fontId="2" fillId="3" borderId="0" applyAlignment="1" pivotButton="0" quotePrefix="0" xfId="0">
      <alignment horizontal="right"/>
    </xf>
    <xf numFmtId="0" fontId="11" fillId="0" borderId="0" pivotButton="0" quotePrefix="0" xfId="0"/>
    <xf numFmtId="164" fontId="9" fillId="0" borderId="0" pivotButton="0" quotePrefix="0" xfId="0"/>
    <xf numFmtId="0" fontId="9" fillId="0" borderId="0" applyAlignment="1" pivotButton="0" quotePrefix="0" xfId="0">
      <alignment horizontal="left" vertical="top" wrapText="1"/>
    </xf>
    <xf numFmtId="0" fontId="0" fillId="0" borderId="0" pivotButton="0" quotePrefix="0" xfId="0"/>
    <xf numFmtId="0" fontId="7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left" vertical="top" wrapText="1"/>
    </xf>
    <xf numFmtId="0" fontId="2" fillId="3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15" fillId="0" borderId="0" pivotButton="0" quotePrefix="0" xfId="0"/>
    <xf numFmtId="0" fontId="14" fillId="0" borderId="0" pivotButton="0" quotePrefix="0" xfId="0"/>
    <xf numFmtId="0" fontId="16" fillId="0" borderId="0" pivotButton="0" quotePrefix="0" xfId="0"/>
    <xf numFmtId="0" fontId="16" fillId="0" borderId="0" applyAlignment="1" pivotButton="0" quotePrefix="0" xfId="0">
      <alignment vertical="top" wrapText="1"/>
    </xf>
    <xf numFmtId="0" fontId="17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8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19" fillId="0" borderId="1" applyAlignment="1" pivotButton="0" quotePrefix="0" xfId="0">
      <alignment horizontal="left" vertical="top" wrapText="1"/>
    </xf>
    <xf numFmtId="0" fontId="20" fillId="0" borderId="1" applyAlignment="1" pivotButton="0" quotePrefix="0" xfId="0">
      <alignment horizontal="left" vertical="top" wrapText="1"/>
    </xf>
    <xf numFmtId="0" fontId="20" fillId="5" borderId="1" applyAlignment="1" pivotButton="0" quotePrefix="0" xfId="0">
      <alignment horizontal="left" vertical="top" wrapText="1"/>
    </xf>
    <xf numFmtId="0" fontId="19" fillId="5" borderId="1" applyAlignment="1" pivotButton="0" quotePrefix="0" xfId="0">
      <alignment horizontal="left" vertical="top" wrapText="1"/>
    </xf>
    <xf numFmtId="0" fontId="21" fillId="6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center" vertical="center" wrapText="1"/>
    </xf>
    <xf numFmtId="0" fontId="22" fillId="0" borderId="0" pivotButton="0" quotePrefix="0" xfId="0"/>
    <xf numFmtId="0" fontId="23" fillId="0" borderId="0" applyAlignment="1" pivotButton="0" quotePrefix="0" xfId="0">
      <alignment horizontal="left" vertical="top" wrapText="1"/>
    </xf>
    <xf numFmtId="0" fontId="0" fillId="0" borderId="1" pivotButton="0" quotePrefix="0" xfId="0"/>
    <xf numFmtId="165" fontId="19" fillId="0" borderId="1" applyAlignment="1" pivotButton="0" quotePrefix="0" xfId="0">
      <alignment horizontal="left" vertical="top" wrapText="1"/>
    </xf>
    <xf numFmtId="165" fontId="19" fillId="5" borderId="1" applyAlignment="1" pivotButton="0" quotePrefix="0" xfId="0">
      <alignment horizontal="left" vertical="top" wrapText="1"/>
    </xf>
    <xf numFmtId="0" fontId="24" fillId="0" borderId="1" applyAlignment="1" pivotButton="0" quotePrefix="0" xfId="0">
      <alignment horizontal="left" vertical="top" wrapText="1"/>
    </xf>
    <xf numFmtId="165" fontId="24" fillId="7" borderId="1" applyAlignment="1" pivotButton="0" quotePrefix="0" xfId="0">
      <alignment horizontal="center" vertical="center"/>
    </xf>
  </cellXfs>
  <cellStyles count="2">
    <cellStyle name="Normal" xfId="0" builtinId="0"/>
    <cellStyle name="Currency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36" customWidth="1" style="51" min="1" max="1"/>
    <col width="55" customWidth="1" style="51" min="2" max="2"/>
    <col width="16" customWidth="1" style="51" min="3" max="3"/>
    <col width="16" customWidth="1" style="51" min="4" max="4"/>
    <col width="20" customWidth="1" style="51" min="5" max="5"/>
    <col width="16" customWidth="1" style="51" min="6" max="6"/>
  </cols>
  <sheetData>
    <row r="1" ht="40" customHeight="1" s="51">
      <c r="A1" s="63" t="inlineStr">
        <is>
          <t>AI SDLC — Oferta wdrożenia</t>
        </is>
      </c>
      <c r="B1" s="64" t="n"/>
      <c r="C1" s="64" t="n"/>
      <c r="D1" s="64" t="n"/>
      <c r="E1" s="64" t="n"/>
      <c r="F1" s="64" t="n"/>
    </row>
    <row r="2" ht="30" customHeight="1" s="51">
      <c r="A2" s="75" t="n"/>
      <c r="B2" s="75" t="n"/>
      <c r="C2" s="75" t="n"/>
      <c r="D2" s="75" t="n"/>
      <c r="E2" s="75" t="n"/>
      <c r="F2" s="75" t="n"/>
    </row>
    <row r="3" ht="30" customHeight="1" s="51">
      <c r="A3" s="65" t="inlineStr">
        <is>
          <t>Executive Summary</t>
        </is>
      </c>
      <c r="B3" s="66" t="n"/>
      <c r="C3" s="66" t="n"/>
      <c r="D3" s="66" t="n"/>
      <c r="E3" s="66" t="n"/>
      <c r="F3" s="66" t="n"/>
    </row>
    <row r="4" ht="139" customHeight="1" s="51">
      <c r="A4" s="67" t="inlineStr">
        <is>
          <t>Bottega proponuje kompleksowe wdrożenie inżynierii oprogramowania wspomaganej sztuczną inteligencją (AI SDLC) w dwóch obszarach biznesowych: Bankowość Centralna oraz Capital Markets, wraz z opcjonalną technologiczną restrukturyzacją wybranych modułów.
Oferta obejmuje budowę baz wiedzy i dokumentacji zoptymalizowanej pod AI, konfigurację narzędzi i instrukcji dla analityków, developerów i reviewerów, wdrożenie automatyzacji CI/CD oraz security gates, a także szkolenia i transfer know-how.
Łączna wartość inwestycji: =SUM(E11,E19,E27,E35,E43,E51) PLN netto.</t>
        </is>
      </c>
    </row>
    <row r="5" ht="30" customHeight="1" s="51">
      <c r="A5" s="75" t="n"/>
      <c r="B5" s="75" t="n"/>
      <c r="C5" s="75" t="n"/>
      <c r="D5" s="75" t="n"/>
      <c r="E5" s="75" t="n"/>
      <c r="F5" s="75" t="n"/>
    </row>
    <row r="6" ht="30" customHeight="1" s="51">
      <c r="A6" s="65" t="inlineStr">
        <is>
          <t>Podejście i fazy wdrożenia</t>
        </is>
      </c>
      <c r="B6" s="66" t="n"/>
      <c r="C6" s="66" t="n"/>
      <c r="D6" s="66" t="n"/>
      <c r="E6" s="66" t="n"/>
      <c r="F6" s="66" t="n"/>
    </row>
    <row r="7" ht="49" customHeight="1" s="51">
      <c r="A7" s="67" t="inlineStr">
        <is>
          <t>Nasze podejście to stopniowa ewolucja, a nie rewolucja. Integrujemy AI tam, gdzie przynosi wymierny zwrot z inwestycji i odciąża inżynierów od powtarzalnych zadań, unikając pułapek związanych z bezpieczeństwem, halucynacjami modeli i obniżeniem jakości kodu.</t>
        </is>
      </c>
      <c r="B7" s="67" t="n"/>
    </row>
    <row r="8" ht="49" customHeight="1" s="51">
      <c r="A8" s="68" t="inlineStr">
        <is>
          <t>Faza 1 — Audit i strategia</t>
        </is>
      </c>
      <c r="B8" s="67" t="inlineStr">
        <is>
          <t>Analiza procesu wytwórczego, stosu technologicznego i kultury inżynierskiej. Identyfikacja obszarów o najwyższym potencjale zwrotu. Wynik: roadmapa wdrożenia.</t>
        </is>
      </c>
    </row>
    <row r="9" ht="64" customHeight="1" s="51">
      <c r="A9" s="69" t="inlineStr">
        <is>
          <t>Faza 2 — Proof of Value</t>
        </is>
      </c>
      <c r="B9" s="70" t="inlineStr">
        <is>
          <t>Pilotaż na wybranym zespole lub module. Praca własna Bottega (przygotowanie narzędzi, dokumentacji) + pair programming online (transfer know-how). Wynik: działające rozwiązanie + udowodniona wartość przed skalowaniem.</t>
        </is>
      </c>
    </row>
    <row r="10" ht="49" customHeight="1" s="51">
      <c r="A10" s="68" t="inlineStr">
        <is>
          <t>Faza 3 — Skalowanie kompetencji</t>
        </is>
      </c>
      <c r="B10" s="67" t="inlineStr">
        <is>
          <t>Rozszerzenie praktyk na całą organizację. Przekazanie licencji z bezterminowym prawem do użytku. Szkolenia dla analityków, PM i developerów.</t>
        </is>
      </c>
    </row>
    <row r="11" ht="30" customHeight="1" s="51">
      <c r="A11" s="75" t="n"/>
      <c r="B11" s="75" t="n"/>
      <c r="C11" s="75" t="n"/>
      <c r="D11" s="75" t="n"/>
      <c r="E11" s="75" t="n"/>
      <c r="F11" s="75" t="n"/>
    </row>
    <row r="12" ht="30" customHeight="1" s="51">
      <c r="A12" s="65" t="inlineStr">
        <is>
          <t>Zakres wdrożenia</t>
        </is>
      </c>
      <c r="B12" s="66" t="n"/>
      <c r="C12" s="66" t="n"/>
      <c r="D12" s="66" t="n"/>
      <c r="E12" s="66" t="n"/>
      <c r="F12" s="66" t="n"/>
    </row>
    <row r="13" ht="124" customHeight="1" s="51">
      <c r="A13" s="68" t="inlineStr">
        <is>
          <t>TOTAL.01 — Bankowość Centralna — AI SDLC</t>
        </is>
      </c>
      <c r="B13" s="67" t="inlineStr">
        <is>
          <t>Pełen zestaw praktyk AI SDLC: skonsolidowanie dokumentacji funkcji systemu (IK.1), mapowanie funkcjonalności na kod i architekturę (IK.2), dokumentacja frontendu i backendu dla AI (IK.4, IK.5), instrukcje AI do analizy regulatorów KNF/UE (EK.1), narzędzia dla analityków i developerów (TL.1–TL.5).
Efekt: wspólny język z AI, szybsza analiza impaktu, eliminacja błędów z nieaktualnej dokumentacji.</t>
        </is>
      </c>
      <c r="E13" s="76">
        <f>'Central Banking'!H282</f>
        <v/>
      </c>
    </row>
    <row r="14" ht="49" customHeight="1" s="51">
      <c r="A14" s="69" t="inlineStr">
        <is>
          <t>TOTAL.02 — Capital Markets — AI SDLC</t>
        </is>
      </c>
      <c r="B14" s="70" t="inlineStr">
        <is>
          <t>Analogiczny zakres jak TOTAL.01, dostosowany do specyfiki Capital Markets (regulator GPW). Większy wymiar pracy własnej Bottega by odciążyć zespół klienta.</t>
        </is>
      </c>
      <c r="E14" s="77">
        <f>'Capital Markets'!H281</f>
        <v/>
      </c>
    </row>
    <row r="15" ht="79" customHeight="1" s="51">
      <c r="A15" s="68" t="inlineStr">
        <is>
          <t>TOTAL.03 — Capital Markets — Refaktoryzacja</t>
        </is>
      </c>
      <c r="B15" s="67" t="inlineStr">
        <is>
          <t>Standaryzacja CI/CD (Jenkinsfile, shared library), migracja Ant→Maven/Gradle, automatyzacja deploy QA, ujednolicenie artefaktów, iOS build/release (Fastlane), security gates (Fortify, Dependency-Track), plan migracji z wyceną etapową.</t>
        </is>
      </c>
      <c r="E15" s="76">
        <f>'Refactor Capital Markets'!H143</f>
        <v/>
      </c>
    </row>
    <row r="16" ht="49" customHeight="1" s="51">
      <c r="A16" s="69" t="inlineStr">
        <is>
          <t>TOTAL.04 — Pakiet szkoleń</t>
        </is>
      </c>
      <c r="B16" s="70" t="inlineStr">
        <is>
          <t>Szkolenie AI SDLC dla analityków i PM (2 dni) oraz dla developerów (3 dni). Bazuje na realnych zadaniach i kodzie projektów.</t>
        </is>
      </c>
      <c r="E16" s="77">
        <f>SUM(Podsumowanie!E31:E34)</f>
        <v/>
      </c>
    </row>
    <row r="17" ht="40" customHeight="1" s="51">
      <c r="A17" s="68" t="inlineStr">
        <is>
          <t>TOTAL.05 — Gwarancja 1 rok / Bufor</t>
        </is>
      </c>
      <c r="B17" s="67" t="inlineStr">
        <is>
          <t>Pakiet dodatkowych godzin na bieżące wsparcie, korekty i niespodziewane wyzwania po wdrożeniu.</t>
        </is>
      </c>
      <c r="E17" s="76">
        <f>SUM(Podsumowanie!E39:E42)</f>
        <v/>
      </c>
    </row>
    <row r="18" ht="40" customHeight="1" s="51">
      <c r="A18" s="69" t="inlineStr">
        <is>
          <t>TOTAL.06 — Narzędzia i licencje</t>
        </is>
      </c>
      <c r="B18" s="70" t="inlineStr">
        <is>
          <t>Przekazanie licencji na narzędzia AI SDLC z bezterminowymi prawami do wewnętrznego użytku i własnego rozwoju.</t>
        </is>
      </c>
      <c r="E18" s="77">
        <f>Narzędzia!G86</f>
        <v/>
      </c>
    </row>
    <row r="19" ht="35" customHeight="1" s="51">
      <c r="A19" s="78" t="inlineStr">
        <is>
          <t>Łączna wartość</t>
        </is>
      </c>
      <c r="E19" s="79">
        <f>SUM(Podsumowanie!E11,Podsumowanie!E19,Podsumowanie!E27,Podsumowanie!E35,Podsumowanie!E43,Podsumowanie!E51)</f>
        <v/>
      </c>
    </row>
    <row r="20" ht="30" customHeight="1" s="51">
      <c r="A20" s="75" t="n"/>
      <c r="B20" s="75" t="n"/>
      <c r="C20" s="75" t="n"/>
      <c r="D20" s="75" t="n"/>
      <c r="E20" s="75" t="n"/>
      <c r="F20" s="75" t="n"/>
    </row>
    <row r="21" ht="30" customHeight="1" s="51">
      <c r="A21" s="65" t="inlineStr">
        <is>
          <t>Efekty biznesowe</t>
        </is>
      </c>
      <c r="B21" s="66" t="n"/>
      <c r="C21" s="66" t="n"/>
      <c r="D21" s="66" t="n"/>
      <c r="E21" s="66" t="n"/>
      <c r="F21" s="66" t="n"/>
    </row>
    <row r="22" ht="64" customHeight="1" s="51">
      <c r="A22" s="68" t="inlineStr">
        <is>
          <t>Przyspieszenie Time-to-Market</t>
        </is>
      </c>
      <c r="B22" s="67" t="inlineStr">
        <is>
          <t>Automatyzacja powtarzalnych zadań skraca czas dostarczania funkcjonalności. AI przejmuje żmudne czynności, inżynierowie skupiają się na pracy twórczej.
→ TOTAL.01, TOTAL.02, TOTAL.03</t>
        </is>
      </c>
    </row>
    <row r="23" ht="64" customHeight="1" s="51">
      <c r="A23" s="69" t="inlineStr">
        <is>
          <t>Redukcja długu technicznego</t>
        </is>
      </c>
      <c r="B23" s="70" t="inlineStr">
        <is>
          <t>Systematyczna poprawa jakości kodu i architektury przez AI Review (bugs, architektura, complexicity, zgodność ze specyfikacją).
→ TOTAL.03, TOTAL.01, TOTAL.02</t>
        </is>
      </c>
    </row>
    <row r="24" ht="79" customHeight="1" s="51">
      <c r="A24" s="68" t="inlineStr">
        <is>
          <t>Retencja wiedzy projektowej</t>
        </is>
      </c>
      <c r="B24" s="67" t="inlineStr">
        <is>
          <t>AI jako "kustosz wiedzy" — skonsolidowana dokumentacja, baza wiedzy mapująca funkcjonalność na kod. Szybsze wdrażanie nowych pracowników, minimalizacja ryzyka utraty wiedzy przy rotacji.
→ TOTAL.01, TOTAL.02, TOTAL.06</t>
        </is>
      </c>
    </row>
    <row r="25" ht="64" customHeight="1" s="51">
      <c r="A25" s="69" t="inlineStr">
        <is>
          <t>Skalowanie kompetencji</t>
        </is>
      </c>
      <c r="B25" s="70" t="inlineStr">
        <is>
          <t>Ujednolicenie standardów pracy. Dzięki narzędziom i instrukcjom AI każdy inżynier pracuje według tych samych wzorców.
→ TOTAL.04, TOTAL.01, TOTAL.02</t>
        </is>
      </c>
    </row>
    <row r="26" ht="64" customHeight="1" s="51">
      <c r="A26" s="68" t="inlineStr">
        <is>
          <t>Bezpieczeństwo danych</t>
        </is>
      </c>
      <c r="B26" s="67" t="inlineStr">
        <is>
          <t>Pełna kontrola nad kodem źródłowym i dokumentacją. Gating bezpieczeństwa w pipeline. Opcje: Cloud Native, Private Cloud (VPC) lub On-Premise (Air-Gapped).
→ TOTAL.03, TOTAL.06</t>
        </is>
      </c>
    </row>
    <row r="27" ht="30" customHeight="1" s="51">
      <c r="A27" s="75" t="n"/>
      <c r="B27" s="75" t="n"/>
      <c r="C27" s="75" t="n"/>
      <c r="D27" s="75" t="n"/>
      <c r="E27" s="75" t="n"/>
      <c r="F27" s="75" t="n"/>
    </row>
    <row r="28" ht="30" customHeight="1" s="51">
      <c r="A28" s="65" t="inlineStr">
        <is>
          <t>Model dostawy</t>
        </is>
      </c>
      <c r="B28" s="66" t="n"/>
      <c r="C28" s="66" t="n"/>
      <c r="D28" s="66" t="n"/>
      <c r="E28" s="66" t="n"/>
      <c r="F28" s="66" t="n"/>
    </row>
    <row r="29" ht="25" customHeight="1" s="51">
      <c r="A29" s="71" t="inlineStr">
        <is>
          <t>Forma współpracy</t>
        </is>
      </c>
      <c r="B29" s="71" t="inlineStr">
        <is>
          <t>Opis</t>
        </is>
      </c>
      <c r="C29" s="71" t="inlineStr">
        <is>
          <t>Kiedy stosujemy</t>
        </is>
      </c>
    </row>
    <row r="30" ht="34" customHeight="1" s="51">
      <c r="A30" s="67" t="inlineStr">
        <is>
          <t>Praca własna Bottega</t>
        </is>
      </c>
      <c r="B30" s="67" t="inlineStr">
        <is>
          <t>Eksperci Bottega realizują zadania samodzielnie, bez angażowania zespołu klienta</t>
        </is>
      </c>
      <c r="C30" s="67" t="inlineStr">
        <is>
          <t>Budowa narzędzi, dokumentacji, instrukcji</t>
        </is>
      </c>
    </row>
    <row r="31" ht="34" customHeight="1" s="51">
      <c r="A31" s="70" t="inlineStr">
        <is>
          <t>Pair programming online</t>
        </is>
      </c>
      <c r="B31" s="70" t="inlineStr">
        <is>
          <t>Wspólna praca eksperta Bottega z inżynierem klienta w parach, przekazująca know-how w czasie rzeczywistym</t>
        </is>
      </c>
      <c r="C31" s="70" t="inlineStr">
        <is>
          <t>Transfer kompetencji: context engineering, refactoring, pipeline</t>
        </is>
      </c>
    </row>
    <row r="32" ht="34" customHeight="1" s="51">
      <c r="A32" s="67" t="inlineStr">
        <is>
          <t>Review po stronie klienta</t>
        </is>
      </c>
      <c r="B32" s="67" t="inlineStr">
        <is>
          <t>Klient weryfikuje efekty prac Bottega, otrzymuje feedback i możliwość korekty</t>
        </is>
      </c>
      <c r="C32" s="67" t="inlineStr">
        <is>
          <t>Każda dostarczona pozycja przed zamknięciem</t>
        </is>
      </c>
    </row>
    <row r="33">
      <c r="A33" s="68" t="inlineStr">
        <is>
          <t>Środowiska docelowe</t>
        </is>
      </c>
    </row>
    <row r="34">
      <c r="B34" s="67" t="inlineStr">
        <is>
          <t>Cloud Native (Enterprise API) — dla firm akceptujących przetwarzanie w chmurze z umowami BAA, stawiających na najwyższą inteligencję modeli</t>
        </is>
      </c>
    </row>
    <row r="35">
      <c r="B35" s="70" t="inlineStr">
        <is>
          <t>Private Cloud (VPC) — dla organizacji wymagających zgodności z regulacjami korporacyjnymi, posiadających infrastrukturę w chmurze publicznej</t>
        </is>
      </c>
    </row>
    <row r="36">
      <c r="B36" s="67" t="inlineStr">
        <is>
          <t>On-Premise (Air-Gapped) — dla banków i sektora publicznego o najwyższym rygorze tajności; obejmuje dobór hardware'u, konfigurację i support</t>
        </is>
      </c>
    </row>
    <row r="37" ht="30" customHeight="1" s="51">
      <c r="A37" s="75" t="n"/>
      <c r="B37" s="75" t="n"/>
      <c r="C37" s="75" t="n"/>
      <c r="D37" s="75" t="n"/>
      <c r="E37" s="75" t="n"/>
      <c r="F37" s="75" t="n"/>
    </row>
    <row r="38" ht="30" customHeight="1" s="51">
      <c r="A38" s="65" t="inlineStr">
        <is>
          <t>Ryzyka i mitigacje</t>
        </is>
      </c>
      <c r="B38" s="66" t="n"/>
      <c r="C38" s="66" t="n"/>
      <c r="D38" s="66" t="n"/>
      <c r="E38" s="66" t="n"/>
      <c r="F38" s="66" t="n"/>
    </row>
    <row r="39" ht="28" customHeight="1" s="51">
      <c r="A39" s="72" t="inlineStr">
        <is>
          <t>Ryzyko</t>
        </is>
      </c>
      <c r="B39" s="72" t="inlineStr">
        <is>
          <t>Mitigacja</t>
        </is>
      </c>
    </row>
    <row r="40" ht="49" customHeight="1" s="51">
      <c r="A40" s="67" t="inlineStr">
        <is>
          <t>Halucynacje modeli AI — AI generuje nieprawdziwe lub niepoprawne informacje</t>
        </is>
      </c>
      <c r="B40" s="67" t="inlineStr">
        <is>
          <t>Context engineering — budowa precyzyjnego kontekstu dla LLM; instrukcje AI wymuszające weryfikację faktów; rola człowieka w pętli (human-in-the-loop)</t>
        </is>
      </c>
    </row>
    <row r="41" ht="64" customHeight="1" s="51">
      <c r="A41" s="70" t="inlineStr">
        <is>
          <t>Obniżenie jakości kodu — AI generuje kod niezgodny ze standardami</t>
        </is>
      </c>
      <c r="B41" s="70" t="inlineStr">
        <is>
          <t>AI Review w pipeline (bugs, architektura, complexicity, zgodność ze specyfikacją); gating security (Fortify, Dependency-Track); code review przez doświadczonych inżynierów</t>
        </is>
      </c>
    </row>
    <row r="42" ht="49" customHeight="1" s="51">
      <c r="A42" s="67" t="inlineStr">
        <is>
          <t>Wyciek danych / kodu źródłowego — wrażliwy kod trafia do publicznych modeli AI</t>
        </is>
      </c>
      <c r="B42" s="67" t="inlineStr">
        <is>
          <t>Możliwość deploymentu On-Premise (Air-Gapped); Private Cloud (VPC); polityka danych i instrukcje AI wymuszające lokalne przetwarzanie</t>
        </is>
      </c>
    </row>
    <row r="43" ht="49" customHeight="1" s="51">
      <c r="A43" s="70" t="inlineStr">
        <is>
          <t>Odrzucenie przez zespół — inżynierowie nie chcą pracować z AI</t>
        </is>
      </c>
      <c r="B43" s="70" t="inlineStr">
        <is>
          <t>Stopniowe wprowadzanie (ewolucja, nie rewolucja); pokazanie wartości na pilocie; szkolenia i mentoring; odciążenie od powtarzalnych zadań</t>
        </is>
      </c>
    </row>
    <row r="44" ht="64" customHeight="1" s="51">
      <c r="A44" s="67" t="inlineStr">
        <is>
          <t>Ponoszenie zbędnych kosztów — niewłaściwe użycie AI przez nieprzeszkolony personel</t>
        </is>
      </c>
      <c r="B44" s="67" t="inlineStr">
        <is>
          <t>Harness engineering — znacząco podnosi jakość przy wykorzystaniu mniejszych modeli; oszczędności dzięki wycinaniu zbędnego outputu i logów; szkolenia z efektywnego korzystania z AI (TOTAL.04)</t>
        </is>
      </c>
    </row>
    <row r="45" ht="64" customHeight="1" s="51">
      <c r="A45" s="70" t="inlineStr">
        <is>
          <t>Uzależnienie od dostawcy (vendor lock-in)</t>
        </is>
      </c>
      <c r="B45" s="70" t="inlineStr">
        <is>
          <t>Przekazanie narzędzi i licencji na własność; bezterminowe prawa do wewnętrznego użytku i rozwoju; transfer know-how przez pair programming; dokumentacja i instrukcje pozostają w organizacji</t>
        </is>
      </c>
    </row>
    <row r="46" ht="30" customHeight="1" s="51">
      <c r="A46" s="75" t="n"/>
      <c r="B46" s="75" t="n"/>
      <c r="C46" s="75" t="n"/>
      <c r="D46" s="75" t="n"/>
      <c r="E46" s="75" t="n"/>
      <c r="F46" s="75" t="n"/>
    </row>
    <row r="47" ht="30" customHeight="1" s="51">
      <c r="A47" s="65" t="inlineStr">
        <is>
          <t>Dlaczego Bottega</t>
        </is>
      </c>
      <c r="B47" s="66" t="n"/>
      <c r="C47" s="66" t="n"/>
      <c r="D47" s="66" t="n"/>
      <c r="E47" s="66" t="n"/>
      <c r="F47" s="66" t="n"/>
    </row>
    <row r="48" ht="64" customHeight="1" s="51">
      <c r="A48" s="67" t="inlineStr">
        <is>
          <t>• Doświadczenie w bankowości konsumenckiej i inwestycyjnej — projekty transformacyjne w sektorze finansowym; znajomość regulacji KNF, GPW i UE</t>
        </is>
      </c>
    </row>
    <row r="49" ht="34" customHeight="1" s="51">
      <c r="A49" s="70" t="inlineStr">
        <is>
          <t>• 15 lat doświadczenia w szkoleniach i doradztwie dla zespołów deweloperskich</t>
        </is>
      </c>
    </row>
    <row r="50" ht="64" customHeight="1" s="51">
      <c r="A50" s="67" t="inlineStr">
        <is>
          <t>• 78 aktywnych trenerów o modelu kompetencji Π (Pi) — silny filar techniczny oraz umiejętności miękkie, talent edukacyjny, myślenie strategiczne</t>
        </is>
      </c>
    </row>
    <row r="51" ht="34" customHeight="1" s="51">
      <c r="A51" s="70" t="inlineStr">
        <is>
          <t>• Ponad 12 000 przeszkolonych uczestników, 150 dni szkoleń rocznie</t>
        </is>
      </c>
    </row>
    <row r="52" ht="49" customHeight="1" s="51">
      <c r="A52" s="67" t="inlineStr">
        <is>
          <t>• 43 klientów z branż: finansowa, medyczna, ubezpieczeniowa, energetyczna, zbrojeniowa, e-commerce</t>
        </is>
      </c>
    </row>
    <row r="53" ht="34" customHeight="1" s="51">
      <c r="A53" s="70" t="inlineStr">
        <is>
          <t>• Eksperci: Sławomir Sobótka, Jakub Nabrdalik, Łukasz Szydło, Mariusz Gil</t>
        </is>
      </c>
    </row>
    <row r="54" ht="34" customHeight="1" s="51">
      <c r="A54" s="67" t="inlineStr">
        <is>
          <t>Wybrani klienci: Intel Polska • Orange Polska • Roche Polska • Asseco Polska • Tomtom Polska • Capgemini • Comarch • Luxoft • Motorola • PZU • Tieto • Atos</t>
        </is>
      </c>
    </row>
  </sheetData>
  <mergeCells count="8">
    <mergeCell ref="A38:F38"/>
    <mergeCell ref="A47:F47"/>
    <mergeCell ref="A28:F28"/>
    <mergeCell ref="A1:F1"/>
    <mergeCell ref="A6:F6"/>
    <mergeCell ref="A12:F12"/>
    <mergeCell ref="A3:F3"/>
    <mergeCell ref="A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tabSelected="1" zoomScale="89" workbookViewId="0">
      <selection activeCell="D33" sqref="D33"/>
    </sheetView>
  </sheetViews>
  <sheetFormatPr baseColWidth="10" defaultRowHeight="13"/>
  <cols>
    <col width="15.6640625" customWidth="1" style="51" min="1" max="1"/>
    <col width="17" customWidth="1" style="51" min="2" max="2"/>
    <col width="78.1640625" customWidth="1" style="51" min="3" max="3"/>
    <col width="53.6640625" customWidth="1" style="51" min="4" max="4"/>
    <col width="19.5" customWidth="1" style="33" min="5" max="5"/>
    <col width="19.83203125" customWidth="1" style="51" min="6" max="6"/>
    <col width="55" customWidth="1" style="51" min="7" max="7"/>
  </cols>
  <sheetData>
    <row r="1" ht="19" customHeight="1" s="51">
      <c r="A1" s="1" t="inlineStr">
        <is>
          <t>Podsumowanie</t>
        </is>
      </c>
      <c r="B1" s="2" t="n"/>
      <c r="C1" s="2" t="n"/>
      <c r="D1" s="2" t="n"/>
      <c r="F1" s="2" t="n"/>
    </row>
    <row r="2" ht="15" customHeight="1" s="51">
      <c r="A2" s="4" t="n"/>
      <c r="B2" s="5" t="n"/>
      <c r="C2" s="2" t="n"/>
      <c r="D2" s="2" t="n"/>
      <c r="F2" s="2" t="n"/>
    </row>
    <row r="3" ht="15" customHeight="1" s="51">
      <c r="A3" s="2" t="n"/>
      <c r="B3" s="2" t="n"/>
      <c r="C3" s="2" t="n"/>
      <c r="D3" s="2" t="n"/>
      <c r="F3" s="2" t="n"/>
    </row>
    <row r="4" ht="15" customHeight="1" s="51">
      <c r="A4" s="6" t="inlineStr">
        <is>
          <t>Kod</t>
        </is>
      </c>
      <c r="B4" s="6" t="inlineStr">
        <is>
          <t>Obszar</t>
        </is>
      </c>
      <c r="C4" s="6" t="inlineStr">
        <is>
          <t>Tytul / opis</t>
        </is>
      </c>
      <c r="D4" s="6" t="inlineStr">
        <is>
          <t>Pozycja kosztowa</t>
        </is>
      </c>
      <c r="E4" s="6" t="inlineStr">
        <is>
          <t>Cena netto [PLN]</t>
        </is>
      </c>
      <c r="F4" s="6" t="inlineStr">
        <is>
          <t>Typ do podsumowania</t>
        </is>
      </c>
      <c r="G4" s="73" t="inlineStr">
        <is>
          <t>Opis oferty</t>
        </is>
      </c>
    </row>
    <row r="5" ht="109" customHeight="1" s="51">
      <c r="A5" s="15" t="inlineStr">
        <is>
          <t>TOTAL.01</t>
        </is>
      </c>
      <c r="B5" s="15" t="inlineStr">
        <is>
          <t>Bankowość</t>
        </is>
      </c>
      <c r="C5" s="15" t="inlineStr">
        <is>
          <t>Wdrożenie AI SDLC z przekazaniem Know-How dla BU Bankowość</t>
        </is>
      </c>
      <c r="D5" s="15" t="n"/>
      <c r="F5" s="2" t="n"/>
      <c r="G5" s="74" t="inlineStr">
        <is>
          <t>TOTAL.01 — Bankowość Centralna: AI SDLC + Know-How
Pełen zestaw praktyk AI SDLC: skonsolidowanie dokumentacji funkcji systemu (IK.1), mapowanie funkcjonalności na kod i architekturę (IK.2), dokumentacja frontendu i backendu zoptymalizowana pod AI (IK.4, IK.5), instrukcje AI do analizy regulatorów KNF/UE (EK.1) oraz narzędzia i instrukcje dla analityków i developerów (TL.1–TL.5).</t>
        </is>
      </c>
    </row>
    <row r="6" ht="15" customHeight="1" s="51">
      <c r="A6" s="2" t="n"/>
      <c r="B6" s="2" t="n"/>
      <c r="C6" s="52" t="inlineStr">
        <is>
          <t>Wdrożenie AI SDLC w formie pair programming (online) z przekazaniem knowhow dotyczącym wdrażania AI SDLC.</t>
        </is>
      </c>
      <c r="D6" s="2" t="inlineStr">
        <is>
          <t>Opis</t>
        </is>
      </c>
      <c r="F6" s="2" t="n"/>
    </row>
    <row r="7" ht="15" customHeight="1" s="51">
      <c r="A7" s="2" t="n"/>
      <c r="B7" s="2" t="n"/>
      <c r="D7" s="2" t="inlineStr">
        <is>
          <t>Przekazanie knowhow</t>
        </is>
      </c>
      <c r="E7" s="33">
        <f>'Central Banking'!H284</f>
        <v/>
      </c>
      <c r="F7" s="2" t="inlineStr">
        <is>
          <t>knowhow</t>
        </is>
      </c>
      <c r="G7" s="48" t="n"/>
    </row>
    <row r="8" ht="15" customHeight="1" s="51">
      <c r="A8" s="2" t="n"/>
      <c r="B8" s="2" t="n"/>
      <c r="D8" s="2" t="inlineStr">
        <is>
          <t>Wykonanie AI SDLC</t>
        </is>
      </c>
      <c r="E8" s="33">
        <f>'Central Banking'!H285</f>
        <v/>
      </c>
      <c r="F8" s="2" t="inlineStr">
        <is>
          <t>AI SDLC</t>
        </is>
      </c>
    </row>
    <row r="9" ht="15" customHeight="1" s="51">
      <c r="A9" s="2" t="n"/>
      <c r="B9" s="2" t="n"/>
    </row>
    <row r="10" ht="15" customHeight="1" s="51">
      <c r="A10" s="2" t="n"/>
      <c r="B10" s="2" t="n"/>
      <c r="D10" s="2" t="n"/>
      <c r="F10" s="2" t="n"/>
    </row>
    <row r="11" ht="15" customHeight="1" s="51">
      <c r="A11" s="2" t="n"/>
      <c r="B11" s="2" t="n"/>
      <c r="D11" s="32" t="inlineStr">
        <is>
          <t xml:space="preserve">Suma </t>
        </is>
      </c>
      <c r="E11" s="34">
        <f>'Central Banking'!H282</f>
        <v/>
      </c>
      <c r="F11" s="2" t="n"/>
    </row>
    <row r="13" ht="79" customHeight="1" s="51">
      <c r="A13" s="15" t="inlineStr">
        <is>
          <t>TOTAL.02</t>
        </is>
      </c>
      <c r="B13" s="15" t="inlineStr">
        <is>
          <t>Capital Markets</t>
        </is>
      </c>
      <c r="C13" s="15" t="inlineStr">
        <is>
          <t>Wdrożenie AI SDLC z przekazaniem Know-How dla BU Capital Markets</t>
        </is>
      </c>
      <c r="D13" s="15" t="n"/>
      <c r="F13" s="2" t="n"/>
      <c r="G13" s="74" t="inlineStr">
        <is>
          <t>TOTAL.02 — Capital Markets: AI SDLC + Know-How
Analogiczny zakres jak dla Bankowości Centralnej, dostosowany do specyfiki BU Capital Markets (w tym regulator GPW). Większy wymiar pracy własnej Bottega by odciążyć zespół klienta.</t>
        </is>
      </c>
    </row>
    <row r="14" ht="15" customHeight="1" s="51">
      <c r="A14" s="2" t="n"/>
      <c r="B14" s="2" t="n"/>
      <c r="C14" s="52" t="inlineStr">
        <is>
          <t>Wdrożenie AI SDLC w formie:
- praca własna po stronie Bottega by ograniczyć prace po 
- pair programming (online) by przekazać knowhow dotyczącym wdrażania AI SDLC</t>
        </is>
      </c>
      <c r="D14" s="2" t="inlineStr">
        <is>
          <t>Opis</t>
        </is>
      </c>
      <c r="F14" s="2" t="n"/>
    </row>
    <row r="15" ht="15" customHeight="1" s="51">
      <c r="A15" s="2" t="n"/>
      <c r="B15" s="2" t="n"/>
      <c r="D15" s="2" t="inlineStr">
        <is>
          <t>Przekazanie knowhow</t>
        </is>
      </c>
      <c r="E15" s="33">
        <f>'Capital Markets'!H283</f>
        <v/>
      </c>
      <c r="F15" s="2" t="inlineStr">
        <is>
          <t>knowhow</t>
        </is>
      </c>
      <c r="G15" s="48" t="n"/>
    </row>
    <row r="16" ht="15" customHeight="1" s="51">
      <c r="A16" s="2" t="n"/>
      <c r="B16" s="2" t="n"/>
      <c r="D16" s="2" t="inlineStr">
        <is>
          <t>Wykonanie AI SDLC</t>
        </is>
      </c>
      <c r="E16" s="33">
        <f>'Capital Markets'!H284</f>
        <v/>
      </c>
      <c r="F16" s="2" t="inlineStr">
        <is>
          <t>AI SDLC</t>
        </is>
      </c>
    </row>
    <row r="17" ht="15" customHeight="1" s="51">
      <c r="A17" s="2" t="n"/>
      <c r="B17" s="2" t="n"/>
    </row>
    <row r="18" ht="15" customHeight="1" s="51">
      <c r="A18" s="2" t="n"/>
      <c r="B18" s="2" t="n"/>
      <c r="D18" s="2" t="n"/>
      <c r="F18" s="2" t="n"/>
    </row>
    <row r="19" ht="15" customHeight="1" s="51">
      <c r="A19" s="2" t="n"/>
      <c r="B19" s="2" t="n"/>
      <c r="D19" s="32" t="inlineStr">
        <is>
          <t xml:space="preserve">Suma </t>
        </is>
      </c>
      <c r="E19" s="34">
        <f>'Capital Markets'!H281</f>
        <v/>
      </c>
      <c r="F19" s="2" t="n"/>
    </row>
    <row r="21" ht="124" customHeight="1" s="51">
      <c r="A21" s="15" t="inlineStr">
        <is>
          <t>TOTAL.03</t>
        </is>
      </c>
      <c r="B21" s="15" t="inlineStr">
        <is>
          <t>Capital Markets</t>
        </is>
      </c>
      <c r="C21" s="15" t="inlineStr">
        <is>
          <t>Technologiczna restrykturyzacja</t>
        </is>
      </c>
      <c r="D21" s="15" t="n"/>
      <c r="F21" s="2" t="n"/>
      <c r="G21" s="74" t="inlineStr">
        <is>
          <t>TOTAL.03 — Capital Markets: Technologiczna restrukturyzacja
Standaryzacja CI/CD na Jenkinsfile (REF.1), migracja builda Ant→Maven/Gradle (REF.2), automatyzacja deploy QA (REF.3), ujednolicenie artefaktów (REF.4), iOS build/release przez Fastlane (REF.5), Fortify/Dependency-Track z gatingiem (REF.6), plan migracji z wyceną etapową (REF.RE.1).</t>
        </is>
      </c>
    </row>
    <row r="22" ht="15" customHeight="1" s="51">
      <c r="A22" s="2" t="n"/>
      <c r="B22" s="2" t="n"/>
      <c r="C22" s="52" t="inlineStr">
        <is>
          <t>Wprowadzenie technologicznych zmian w projekt w formie:
- pracy własnej po stronie Bottega
- oraz pair programming (online) w ramach potrzeb i dostępności.</t>
        </is>
      </c>
      <c r="D22" s="2" t="inlineStr">
        <is>
          <t>Opis</t>
        </is>
      </c>
      <c r="F22" s="2" t="n"/>
    </row>
    <row r="23" ht="15" customHeight="1" s="51">
      <c r="A23" s="2" t="n"/>
      <c r="B23" s="2" t="n"/>
      <c r="D23" s="2" t="inlineStr">
        <is>
          <t>Przekazanie narzedzi</t>
        </is>
      </c>
      <c r="E23" s="33">
        <f>'Refactor Capital Markets'!H144</f>
        <v/>
      </c>
      <c r="F23" s="2" t="inlineStr">
        <is>
          <t>narzedzia</t>
        </is>
      </c>
    </row>
    <row r="24" ht="15" customHeight="1" s="51">
      <c r="A24" s="2" t="n"/>
      <c r="B24" s="2" t="n"/>
      <c r="D24" s="2" t="inlineStr">
        <is>
          <t>Przekazanie knowhow</t>
        </is>
      </c>
      <c r="E24" s="33">
        <f>'Refactor Capital Markets'!H145</f>
        <v/>
      </c>
      <c r="F24" s="2" t="inlineStr">
        <is>
          <t>knowhow</t>
        </is>
      </c>
    </row>
    <row r="25" ht="15" customHeight="1" s="51">
      <c r="A25" s="2" t="n"/>
      <c r="B25" s="2" t="n"/>
      <c r="D25" s="2" t="inlineStr">
        <is>
          <t>Wykonanie prac</t>
        </is>
      </c>
      <c r="E25" s="33">
        <f>'Refactor Capital Markets'!H146</f>
        <v/>
      </c>
      <c r="F25" s="2" t="inlineStr">
        <is>
          <t>refactor</t>
        </is>
      </c>
    </row>
    <row r="26" ht="15" customHeight="1" s="51">
      <c r="A26" s="2" t="n"/>
      <c r="B26" s="2" t="n"/>
      <c r="D26" s="2" t="n"/>
      <c r="F26" s="2" t="n"/>
    </row>
    <row r="27" ht="15" customHeight="1" s="51">
      <c r="A27" s="2" t="n"/>
      <c r="B27" s="2" t="n"/>
      <c r="D27" s="32" t="inlineStr">
        <is>
          <t xml:space="preserve">Suma </t>
        </is>
      </c>
      <c r="E27" s="34">
        <f>'Refactor Capital Markets'!H143</f>
        <v/>
      </c>
      <c r="F27" s="2" t="n"/>
    </row>
    <row r="29" ht="64" customHeight="1" s="51">
      <c r="A29" s="15" t="inlineStr">
        <is>
          <t>TOTAL.04</t>
        </is>
      </c>
      <c r="B29" s="15" t="n"/>
      <c r="C29" s="15" t="inlineStr">
        <is>
          <t>Pakiet szkoleń</t>
        </is>
      </c>
      <c r="D29" s="15" t="n"/>
      <c r="F29" s="2" t="n"/>
      <c r="G29" s="74" t="inlineStr">
        <is>
          <t>TOTAL.04 — Pakiet szkoleń
Szkolenia dla szerszego grona pracowników: AI SDLC dla analityków i PM (2 dni) oraz dla developerów (3 dni). Bazują na realnych zadaniach i kodzie projektów.</t>
        </is>
      </c>
    </row>
    <row r="30" ht="15" customHeight="1" s="51">
      <c r="A30" s="2" t="n"/>
      <c r="B30" s="2" t="n"/>
      <c r="C30" s="52" t="inlineStr">
        <is>
          <t>Szkolenia dla szerszego grona pracowników, jak efektywnie pracować z AI SDLC wdrożonym do projektów.
Szkolenia mogą bazować na realnych zadaniach i kodzie projektów, jeśli będzie to dopuszczalne.</t>
        </is>
      </c>
      <c r="D30" s="2" t="inlineStr">
        <is>
          <t>Opis</t>
        </is>
      </c>
      <c r="F30" s="2" t="n"/>
    </row>
    <row r="31" ht="15" customHeight="1" s="51">
      <c r="A31" s="2" t="n"/>
      <c r="B31" s="2" t="n"/>
      <c r="D31" s="2" t="inlineStr">
        <is>
          <t>Szkolenie AI SDLC dla analityków i PM 2dni</t>
        </is>
      </c>
      <c r="E31" s="33" t="n">
        <v>10000</v>
      </c>
      <c r="F31" s="2" t="inlineStr">
        <is>
          <t>szkolenia</t>
        </is>
      </c>
    </row>
    <row r="32" ht="15" customHeight="1" s="51">
      <c r="A32" s="2" t="n"/>
      <c r="B32" s="2" t="n"/>
      <c r="D32" s="2" t="inlineStr">
        <is>
          <t>Szkolenie AI SDLC dla developerów 3dni</t>
        </is>
      </c>
      <c r="E32" s="33" t="n">
        <v>15000</v>
      </c>
      <c r="F32" s="2" t="inlineStr">
        <is>
          <t>szkolenia</t>
        </is>
      </c>
    </row>
    <row r="33" ht="15" customHeight="1" s="51">
      <c r="A33" s="2" t="n"/>
      <c r="B33" s="2" t="n"/>
      <c r="D33" s="2" t="n"/>
      <c r="F33" s="2" t="n"/>
    </row>
    <row r="34" ht="15" customHeight="1" s="51">
      <c r="A34" s="2" t="n"/>
      <c r="B34" s="2" t="n"/>
      <c r="D34" s="2" t="n"/>
      <c r="F34" s="2" t="n"/>
    </row>
    <row r="35" ht="15" customHeight="1" s="51">
      <c r="A35" s="2" t="n"/>
      <c r="B35" s="2" t="n"/>
      <c r="D35" s="32" t="inlineStr">
        <is>
          <t xml:space="preserve">Suma </t>
        </is>
      </c>
      <c r="E35" s="34">
        <f>SUM(E31:E34)</f>
        <v/>
      </c>
      <c r="F35" s="2" t="n"/>
    </row>
    <row r="37" ht="49" customHeight="1" s="51">
      <c r="A37" s="15" t="inlineStr">
        <is>
          <t>TOTAL.05</t>
        </is>
      </c>
      <c r="B37" s="15" t="n"/>
      <c r="C37" s="15" t="inlineStr">
        <is>
          <t>Gwarancja 1 rok / bufor dodatkowych godzin</t>
        </is>
      </c>
      <c r="D37" s="15" t="n"/>
      <c r="F37" s="2" t="n"/>
      <c r="G37" s="74" t="inlineStr">
        <is>
          <t>TOTAL.05 — Gwarancja 1 rok / Bufor
Pakiet dodatkowych godzin na bieżące wsparcie, korekty i niespodziewane wyzwania po wdrożeniu.</t>
        </is>
      </c>
    </row>
    <row r="38" ht="15" customHeight="1" s="51">
      <c r="A38" s="2" t="n"/>
      <c r="B38" s="2" t="n"/>
      <c r="C38" s="52" t="inlineStr">
        <is>
          <t>Pakiet dodatkowych godzin prac zarówno nad AI SDLC jak i technologiczną restrukturyzacją.</t>
        </is>
      </c>
      <c r="D38" s="2" t="inlineStr">
        <is>
          <t>Opis</t>
        </is>
      </c>
      <c r="F38" s="2" t="n"/>
    </row>
    <row r="39" ht="15" customHeight="1" s="51">
      <c r="A39" s="2" t="n"/>
      <c r="B39" s="2" t="n"/>
      <c r="D39" s="2" t="inlineStr">
        <is>
          <t>Bufor i Gwarancja</t>
        </is>
      </c>
      <c r="E39" s="33" t="n">
        <v>25000</v>
      </c>
      <c r="F39" s="2" t="inlineStr">
        <is>
          <t>inne</t>
        </is>
      </c>
    </row>
    <row r="40" ht="15" customHeight="1" s="51">
      <c r="A40" s="2" t="n"/>
      <c r="B40" s="2" t="n"/>
      <c r="D40" s="2" t="n"/>
      <c r="F40" s="2" t="n"/>
    </row>
    <row r="41" ht="15" customHeight="1" s="51">
      <c r="A41" s="2" t="n"/>
      <c r="B41" s="2" t="n"/>
      <c r="D41" s="2" t="n"/>
      <c r="F41" s="2" t="n"/>
    </row>
    <row r="42" ht="15" customHeight="1" s="51">
      <c r="A42" s="2" t="n"/>
      <c r="B42" s="2" t="n"/>
      <c r="D42" s="2" t="n"/>
      <c r="F42" s="2" t="n"/>
    </row>
    <row r="43" ht="15" customHeight="1" s="51">
      <c r="A43" s="2" t="n"/>
      <c r="B43" s="2" t="n"/>
      <c r="D43" s="32" t="inlineStr">
        <is>
          <t xml:space="preserve">Suma </t>
        </is>
      </c>
      <c r="E43" s="34">
        <f>SUM(E39:E42)</f>
        <v/>
      </c>
      <c r="F43" s="2" t="n"/>
    </row>
    <row r="44" ht="15" customHeight="1" s="51">
      <c r="A44" s="2" t="n"/>
      <c r="B44" s="2" t="n"/>
      <c r="D44" s="32" t="n"/>
      <c r="E44" s="34" t="n"/>
      <c r="F44" s="2" t="n"/>
    </row>
    <row r="45" ht="49" customHeight="1" s="51">
      <c r="A45" s="35" t="inlineStr">
        <is>
          <t>TOTAL.06</t>
        </is>
      </c>
      <c r="B45" s="15" t="n"/>
      <c r="C45" s="35" t="inlineStr">
        <is>
          <t>Przekazanie narzędzi AI SDLC i licencji</t>
        </is>
      </c>
      <c r="G45" s="74" t="inlineStr">
        <is>
          <t>TOTAL.06 — Przekazanie narzędzi i licencji
Licencje na narzędzia AI SDLC z bezterminowymi prawami do wewnętrznego użytku i własnego rozwoju.</t>
        </is>
      </c>
    </row>
    <row r="46" ht="14" customHeight="1" s="51">
      <c r="C46" s="50" t="inlineStr">
        <is>
          <t>Przekazanie licencji na narzędzia dla AI SDLC, bezterminowe prawa do wewnętrznego użycia i własnego rozwoju.</t>
        </is>
      </c>
      <c r="D46" t="inlineStr">
        <is>
          <t>Przekazanie Rekomendacji</t>
        </is>
      </c>
      <c r="E46" s="33">
        <f>Narzędzia!H89</f>
        <v/>
      </c>
      <c r="F46" t="inlineStr">
        <is>
          <t>knowhow</t>
        </is>
      </c>
    </row>
    <row r="47">
      <c r="D47" t="inlineStr">
        <is>
          <t>Przekazanie narzedzi</t>
        </is>
      </c>
      <c r="E47" s="33">
        <f>Narzędzia!H88</f>
        <v/>
      </c>
      <c r="F47" t="inlineStr">
        <is>
          <t>narzedzia</t>
        </is>
      </c>
    </row>
    <row r="48"/>
    <row r="49"/>
    <row r="50"/>
    <row r="51">
      <c r="D51" s="35" t="inlineStr">
        <is>
          <t xml:space="preserve">Suma </t>
        </is>
      </c>
      <c r="E51" s="34">
        <f>Narzędzia!G86</f>
        <v/>
      </c>
    </row>
    <row r="56">
      <c r="D56" s="35" t="inlineStr">
        <is>
          <t>Całkowita Suma</t>
        </is>
      </c>
      <c r="E56" s="34">
        <f>SUM(E11,E19,E27,E35,E43,E51)</f>
        <v/>
      </c>
    </row>
  </sheetData>
  <mergeCells count="6">
    <mergeCell ref="C46:C51"/>
    <mergeCell ref="C30:C35"/>
    <mergeCell ref="C6:C11"/>
    <mergeCell ref="C38:C43"/>
    <mergeCell ref="C14:C19"/>
    <mergeCell ref="C22:C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I948"/>
  <sheetViews>
    <sheetView workbookViewId="0">
      <selection activeCell="B2" sqref="B2"/>
    </sheetView>
  </sheetViews>
  <sheetFormatPr baseColWidth="10" defaultColWidth="12.6640625" defaultRowHeight="15.75" customHeight="1"/>
  <cols>
    <col width="28" customWidth="1" style="51" min="2" max="2"/>
    <col width="67.1640625" customWidth="1" style="51" min="3" max="3"/>
    <col width="67" customWidth="1" style="51" min="4" max="4"/>
    <col width="12.6640625" customWidth="1" style="51" min="5" max="5"/>
    <col width="19.6640625" customWidth="1" style="51" min="6" max="6"/>
    <col width="15" bestFit="1" customWidth="1" style="18" min="7" max="7"/>
    <col width="15.5" customWidth="1" style="26" min="8" max="8"/>
    <col width="50" customWidth="1" style="51" min="9" max="9"/>
  </cols>
  <sheetData>
    <row r="1" ht="19" customHeight="1" s="51">
      <c r="A1" s="1" t="inlineStr">
        <is>
          <t>AI SDLC z przekazaniem Know-How</t>
        </is>
      </c>
      <c r="B1" s="2" t="n"/>
      <c r="C1" s="3" t="n"/>
      <c r="D1" s="3" t="n"/>
      <c r="E1" s="3" t="n"/>
      <c r="F1" s="3" t="n"/>
      <c r="G1" s="16" t="n"/>
    </row>
    <row r="2" ht="15" customHeight="1" s="51">
      <c r="A2" s="4" t="inlineStr">
        <is>
          <t>BU:</t>
        </is>
      </c>
      <c r="B2" s="5" t="inlineStr">
        <is>
          <t>Bankowść Centralna</t>
        </is>
      </c>
      <c r="C2" s="3" t="n"/>
      <c r="D2" s="3" t="n"/>
      <c r="E2" s="3" t="n"/>
      <c r="F2" s="3" t="n"/>
      <c r="G2" s="16" t="n"/>
    </row>
    <row r="3" ht="15" customHeight="1" s="51">
      <c r="A3" s="3" t="n"/>
      <c r="B3" s="3" t="n"/>
      <c r="C3" s="3" t="n"/>
      <c r="D3" s="3" t="n"/>
      <c r="E3" s="3" t="n"/>
      <c r="F3" s="3" t="n"/>
      <c r="G3" s="16" t="n"/>
    </row>
    <row r="4" ht="15" customHeight="1" s="51">
      <c r="A4" s="6" t="inlineStr">
        <is>
          <t>Kod</t>
        </is>
      </c>
      <c r="B4" s="6" t="inlineStr">
        <is>
          <t>Obszar</t>
        </is>
      </c>
      <c r="C4" s="6" t="inlineStr">
        <is>
          <t>Tytul / opis</t>
        </is>
      </c>
      <c r="D4" s="6" t="inlineStr">
        <is>
          <t>Pozycja kosztowa</t>
        </is>
      </c>
      <c r="E4" s="6" t="n"/>
      <c r="F4" s="6" t="inlineStr">
        <is>
          <t>Typ do podsumowania</t>
        </is>
      </c>
      <c r="G4" s="6" t="inlineStr">
        <is>
          <t>Cena netto [PLN]</t>
        </is>
      </c>
      <c r="H4" s="27" t="inlineStr">
        <is>
          <t>Suma</t>
        </is>
      </c>
      <c r="I4" s="73" t="inlineStr">
        <is>
          <t>Value proposition</t>
        </is>
      </c>
    </row>
    <row r="5" ht="15" customHeight="1" s="51">
      <c r="A5" s="3" t="n"/>
      <c r="B5" s="3" t="n"/>
      <c r="C5" s="11" t="n"/>
      <c r="D5" s="3" t="n"/>
      <c r="E5" s="3" t="n"/>
      <c r="F5" s="3" t="n"/>
      <c r="G5" s="16" t="n"/>
      <c r="H5" s="28" t="n"/>
    </row>
    <row r="6" ht="15" customHeight="1" s="51">
      <c r="A6" s="3" t="n"/>
      <c r="B6" s="3" t="n"/>
      <c r="C6" s="11" t="n"/>
      <c r="D6" s="3" t="n"/>
      <c r="E6" s="3" t="n"/>
      <c r="F6" s="3" t="n"/>
      <c r="G6" s="16" t="n"/>
    </row>
    <row r="7" ht="64" customHeight="1" s="51">
      <c r="A7" s="7" t="inlineStr">
        <is>
          <t>IK.1</t>
        </is>
      </c>
      <c r="B7" s="7" t="inlineStr">
        <is>
          <t>IK (Internal Knowledge)</t>
        </is>
      </c>
      <c r="C7" s="8" t="inlineStr">
        <is>
          <t>IK.1 - Skonsolidowana dokumentacja funkcji systemu (aktualnych wersji) dla AI</t>
        </is>
      </c>
      <c r="D7" s="7" t="inlineStr">
        <is>
          <t>Sekcja</t>
        </is>
      </c>
      <c r="E7" s="3" t="n"/>
      <c r="F7" s="3" t="n"/>
      <c r="G7" s="16" t="n"/>
      <c r="I7" s="74" t="inlineStr">
        <is>
          <t>Analityk: pewność że AI rozumie aktualny stan systemu. Developer: AI i agenci wiedzą co jest już zaimplementowane. Reviewer: kontekst do oceny impaktu. QA: pełny kontekst systemu.</t>
        </is>
      </c>
    </row>
    <row r="8" ht="15" customHeight="1" s="51">
      <c r="A8" s="3" t="n"/>
      <c r="B8" s="3" t="n"/>
      <c r="C8" s="53" t="inlineStr">
        <is>
          <t>Analiza: Analitycy zyskują pewność, że AI rozumie aktualny stan systemu i impakt na istniejącą funkcjonalność. Skraca to czas weryfikacji pomysłów i redukuje błędy wynikające z nieaktualnej wiedzy. Development: Developerzy i agenci wiedzą co jest już zaimplementowane i AI pomoże im to odszukać. Review: Reviewerzy mają kontekst do oceny czy zmiana nie koliduje z istniejącą funkcjonalnością, jaki jest impakt przed implementacją, czy implementacja została zrealizowana. Testing: QA rozumie pełny kontekst systemu i wie co należy przetestować po zmianach proponowanych w analizie.</t>
        </is>
      </c>
      <c r="D8" s="3" t="inlineStr">
        <is>
          <t>Opis</t>
        </is>
      </c>
      <c r="E8" s="3" t="n"/>
      <c r="F8" s="3" t="n"/>
      <c r="G8" s="16" t="n"/>
      <c r="H8" s="28" t="n"/>
    </row>
    <row r="9" ht="15" customHeight="1" s="51">
      <c r="A9" s="3" t="n"/>
      <c r="B9" s="3" t="n"/>
      <c r="D9" s="3" t="inlineStr">
        <is>
          <t>Przekazanie knowhow</t>
        </is>
      </c>
      <c r="E9" s="9" t="n"/>
      <c r="F9" s="3" t="inlineStr">
        <is>
          <t>knowhow</t>
        </is>
      </c>
      <c r="G9" s="16" t="n">
        <v>2500</v>
      </c>
      <c r="H9" s="28" t="n"/>
    </row>
    <row r="10" ht="15" customHeight="1" s="51">
      <c r="A10" s="3" t="n"/>
      <c r="B10" s="3" t="n"/>
      <c r="D10" s="3" t="inlineStr">
        <is>
          <t>Wykonanie skonsolidowanej dokumentacji funkcji systemu (jednej wersji) dla AI</t>
        </is>
      </c>
      <c r="E10" s="9" t="n"/>
      <c r="F10" s="2" t="inlineStr">
        <is>
          <t>AI SDLC</t>
        </is>
      </c>
      <c r="G10" s="16" t="n">
        <v>7500</v>
      </c>
      <c r="H10" s="28" t="n"/>
    </row>
    <row r="11" ht="15" customHeight="1" s="51">
      <c r="A11" s="3" t="n"/>
      <c r="B11" s="3" t="n"/>
      <c r="D11" s="3" t="inlineStr">
        <is>
          <t>Review prac po stronie</t>
        </is>
      </c>
      <c r="E11" s="9" t="n"/>
      <c r="F11" s="2" t="inlineStr">
        <is>
          <t>AI SDLC</t>
        </is>
      </c>
      <c r="G11" s="16" t="n">
        <v>500</v>
      </c>
      <c r="H11" s="28" t="n"/>
    </row>
    <row r="12" ht="68" customHeight="1" s="51">
      <c r="A12" s="3" t="n"/>
      <c r="B12" s="3" t="n"/>
      <c r="D12" s="13" t="inlineStr">
        <is>
          <t>Suma IK.1</t>
        </is>
      </c>
      <c r="E12" s="9" t="n"/>
      <c r="F12" s="3" t="n"/>
      <c r="G12" s="16" t="n"/>
      <c r="H12" s="28">
        <f>SUM(G9:G11)</f>
        <v/>
      </c>
    </row>
    <row r="13" ht="15" customHeight="1" s="51">
      <c r="A13" s="3" t="n"/>
      <c r="B13" s="3" t="n"/>
      <c r="C13" s="11" t="n"/>
      <c r="D13" s="3" t="n"/>
      <c r="E13" s="3" t="n"/>
      <c r="F13" s="3" t="n"/>
      <c r="G13" s="16" t="n"/>
      <c r="H13" s="28" t="n"/>
    </row>
    <row r="14" ht="49" customHeight="1" s="51">
      <c r="A14" s="7" t="inlineStr">
        <is>
          <t>IK.2</t>
        </is>
      </c>
      <c r="B14" s="7" t="inlineStr">
        <is>
          <t>IK (Internal Knowledge)</t>
        </is>
      </c>
      <c r="C14" s="8" t="inlineStr">
        <is>
          <t>IK.2 - Baza wiedzy mapująca funkcjonalność na kod / architekturę (funkcjonalność -&gt; UI -&gt; Beans -&gt; baza danych)</t>
        </is>
      </c>
      <c r="D14" s="7" t="inlineStr">
        <is>
          <t>Sekcja</t>
        </is>
      </c>
      <c r="E14" s="3" t="n"/>
      <c r="F14" s="3" t="n"/>
      <c r="G14" s="16" t="n"/>
      <c r="H14" s="28" t="n"/>
      <c r="I14" s="74" t="inlineStr">
        <is>
          <t>Analityk: AI wskazuje miejsca zmian po opisie. Developer: wie dokładnie gdzie zmieniać kod. Reviewer: ocenia pełen impact. QA: wie co testować.</t>
        </is>
      </c>
    </row>
    <row r="15" ht="15" customHeight="1" s="51">
      <c r="A15" s="3" t="n"/>
      <c r="B15" s="3" t="n"/>
      <c r="C15" s="53" t="inlineStr">
        <is>
          <t>Analiza:  Po napisaniu opisu zmian AI wskazuje potencjalne miejsca zmian w kodzie i dokumentacji, a analityk robi finalną walidację. Automatyczne mapowanie nazewnictwa PL (analiza) vs EN (kod) ogranicza błędy wynikające z dwóch języków. Development: Developerzy wiedzą dokładnie gdzie i jak zmieniać kod. Review: Reviewerzy mogą ocenić pełen impact zmiany na kod i architekturę. Testing: Testerzy wiedzą co musi być przetestowane po zmianie.</t>
        </is>
      </c>
      <c r="D15" s="3" t="inlineStr">
        <is>
          <t>Opis</t>
        </is>
      </c>
      <c r="E15" s="3" t="n"/>
      <c r="F15" s="3" t="n"/>
      <c r="G15" s="16" t="n"/>
      <c r="H15" s="28" t="n"/>
    </row>
    <row r="16" ht="15" customHeight="1" s="51">
      <c r="A16" s="3" t="n"/>
      <c r="B16" s="3" t="n"/>
      <c r="D16" s="3" t="inlineStr">
        <is>
          <t>Przekazanie knowhow</t>
        </is>
      </c>
      <c r="E16" s="9" t="n"/>
      <c r="F16" s="3" t="inlineStr">
        <is>
          <t>knowhow</t>
        </is>
      </c>
      <c r="G16" s="16" t="n">
        <v>2500</v>
      </c>
      <c r="H16" s="28" t="n"/>
    </row>
    <row r="17" ht="15" customHeight="1" s="51">
      <c r="A17" s="3" t="n"/>
      <c r="B17" s="3" t="n"/>
      <c r="D17" s="3" t="inlineStr">
        <is>
          <t>Wykonanie bazy wiedzy mapującej funkcjonalność na kod i architekturę</t>
        </is>
      </c>
      <c r="E17" s="9" t="n"/>
      <c r="F17" s="2" t="inlineStr">
        <is>
          <t>AI SDLC</t>
        </is>
      </c>
      <c r="G17" s="16" t="n">
        <v>3750</v>
      </c>
      <c r="H17" s="28" t="n"/>
    </row>
    <row r="18" ht="15" customHeight="1" s="51">
      <c r="A18" s="3" t="n"/>
      <c r="B18" s="3" t="n"/>
      <c r="D18" s="3" t="inlineStr">
        <is>
          <t>Review prac po stronie</t>
        </is>
      </c>
      <c r="E18" s="9" t="n"/>
      <c r="F18" s="2" t="inlineStr">
        <is>
          <t>AI SDLC</t>
        </is>
      </c>
      <c r="G18" s="16" t="n">
        <v>500</v>
      </c>
      <c r="H18" s="28" t="n"/>
    </row>
    <row r="19" ht="15" customHeight="1" s="51">
      <c r="A19" s="3" t="n"/>
      <c r="B19" s="3" t="n"/>
      <c r="D19" s="3" t="inlineStr">
        <is>
          <t>Suma IK.2</t>
        </is>
      </c>
      <c r="E19" s="9" t="n"/>
      <c r="F19" s="3" t="n"/>
      <c r="G19" s="16" t="n"/>
      <c r="H19" s="28">
        <f>SUM(G16:G18)</f>
        <v/>
      </c>
    </row>
    <row r="20" ht="15" customHeight="1" s="51">
      <c r="A20" s="3" t="n"/>
      <c r="B20" s="3" t="n"/>
      <c r="C20" s="11" t="n"/>
      <c r="D20" s="3" t="n"/>
      <c r="E20" s="3" t="n"/>
      <c r="F20" s="3" t="n"/>
      <c r="G20" s="16" t="n"/>
      <c r="H20" s="28" t="n"/>
    </row>
    <row r="21" ht="34" customHeight="1" s="51">
      <c r="A21" s="7" t="inlineStr">
        <is>
          <t>IK.3</t>
        </is>
      </c>
      <c r="B21" s="7" t="inlineStr">
        <is>
          <t>IK (Internal Knowledge)</t>
        </is>
      </c>
      <c r="C21" s="8" t="inlineStr">
        <is>
          <t>IK.3 - Heurystyczne szacowanie pracochłonności (w oparciu o wartości eksperckie)</t>
        </is>
      </c>
      <c r="D21" s="7" t="inlineStr">
        <is>
          <t>Sekcja</t>
        </is>
      </c>
      <c r="E21" s="3" t="n"/>
      <c r="F21" s="3" t="n"/>
      <c r="G21" s="16" t="n"/>
      <c r="H21" s="28" t="n"/>
      <c r="I21" s="74" t="inlineStr">
        <is>
          <t>Liderzy: estymaty oparte na wartościach eksperckich.</t>
        </is>
      </c>
    </row>
    <row r="22" ht="15" customHeight="1" s="51">
      <c r="A22" s="3" t="n"/>
      <c r="B22" s="3" t="n"/>
      <c r="C22" s="53" t="inlineStr">
        <is>
          <t>opcja A. (zalecana) szacowanie z wartościami eksperckimi opcja B. (odradzamy) liczenie metryk na bazie kodu/jira jeśli nie istnieją Analiza: Porównujemy artefakty analityczne z realnym stanem systemu, by estymować postęp i złożoność zmian. Liderzy projektu zyskują estymaty oparte na wartościach eksperckich.</t>
        </is>
      </c>
      <c r="D22" s="3" t="inlineStr">
        <is>
          <t>Opis</t>
        </is>
      </c>
      <c r="E22" s="3" t="n"/>
      <c r="F22" s="3" t="n"/>
      <c r="G22" s="16" t="n"/>
      <c r="H22" s="28" t="n"/>
    </row>
    <row r="23" ht="15" customHeight="1" s="51">
      <c r="A23" s="3" t="n"/>
      <c r="B23" s="3" t="n"/>
      <c r="D23" s="3" t="inlineStr">
        <is>
          <t>Przekazanie knowhow</t>
        </is>
      </c>
      <c r="E23" s="9" t="n"/>
      <c r="F23" s="3" t="inlineStr">
        <is>
          <t>knowhow</t>
        </is>
      </c>
      <c r="G23" s="16" t="n">
        <v>0</v>
      </c>
      <c r="H23" s="28" t="n"/>
    </row>
    <row r="24" ht="15" customHeight="1" s="51">
      <c r="A24" s="3" t="n"/>
      <c r="B24" s="3" t="n"/>
      <c r="D24" s="3" t="inlineStr">
        <is>
          <t>Przygotowanie heurystycznego szacowania pracochłonności</t>
        </is>
      </c>
      <c r="E24" s="9" t="n"/>
      <c r="F24" s="2" t="inlineStr">
        <is>
          <t>AI SDLC</t>
        </is>
      </c>
      <c r="G24" s="16" t="n">
        <v>700</v>
      </c>
      <c r="H24" s="28" t="n"/>
    </row>
    <row r="25" ht="15" customHeight="1" s="51">
      <c r="A25" s="3" t="n"/>
      <c r="B25" s="3" t="n"/>
      <c r="D25" s="3" t="inlineStr">
        <is>
          <t>Review prac po stronie</t>
        </is>
      </c>
      <c r="E25" s="9" t="n"/>
      <c r="F25" s="2" t="inlineStr">
        <is>
          <t>AI SDLC</t>
        </is>
      </c>
      <c r="G25" s="16" t="n">
        <v>0</v>
      </c>
      <c r="H25" s="28" t="n"/>
    </row>
    <row r="26" ht="15" customHeight="1" s="51">
      <c r="A26" s="3" t="n"/>
      <c r="B26" s="3" t="n"/>
      <c r="D26" s="3" t="inlineStr">
        <is>
          <t>Suma IK.3</t>
        </is>
      </c>
      <c r="E26" s="9" t="n"/>
      <c r="F26" s="3" t="n"/>
      <c r="G26" s="16" t="n"/>
      <c r="H26" s="28">
        <f>SUM(G23:G25)</f>
        <v/>
      </c>
    </row>
    <row r="27" ht="15" customHeight="1" s="51">
      <c r="A27" s="3" t="n"/>
      <c r="B27" s="3" t="n"/>
      <c r="C27" s="11" t="n"/>
      <c r="D27" s="3" t="n"/>
      <c r="E27" s="3" t="n"/>
      <c r="F27" s="3" t="n"/>
      <c r="G27" s="16" t="n"/>
      <c r="H27" s="28" t="n"/>
    </row>
    <row r="28" ht="49" customHeight="1" s="51">
      <c r="A28" s="7" t="inlineStr">
        <is>
          <t>IK.4</t>
        </is>
      </c>
      <c r="B28" s="7" t="inlineStr">
        <is>
          <t>IK (Internal Knowledge)</t>
        </is>
      </c>
      <c r="C28" s="8" t="inlineStr">
        <is>
          <t>IK.4 - Skonsolidowana dokumentacja architektury frontendu optymalna dla AI</t>
        </is>
      </c>
      <c r="D28" s="7" t="inlineStr">
        <is>
          <t>Sekcja</t>
        </is>
      </c>
      <c r="E28" s="3" t="n"/>
      <c r="F28" s="3" t="n"/>
      <c r="G28" s="16" t="n"/>
      <c r="H28" s="28" t="n"/>
      <c r="I28" s="74" t="inlineStr">
        <is>
          <t>Analityk: szybsza ocena impaktu na frontend. Developer: AI generuje kod zgodny z architekturą. Reviewer: zgodność z zasadami. QA: spójne testy UI.</t>
        </is>
      </c>
    </row>
    <row r="29" ht="15" customHeight="1" s="51">
      <c r="A29" s="3" t="n"/>
      <c r="B29" s="3" t="n"/>
      <c r="C29" s="53" t="inlineStr">
        <is>
          <t>Analiza: Ocena impakty zmian na frontendzie. Development: AI generuje kod zgodny z lokalną architekturą i wzorcami. AI i developerzy  mają jasne wzorce jak pisać frontend - formularze, tabelki, nazewnictwo, elementy common. Dodatkowe instrukcja uświadamiające AI odnośnie hacków primefaces. Review: Reviewerzy sprawdzają zgodność z zasadami architektonicznymi frontendu. Testing: UI testy e2e są spójne i zgodne z wzorcami.</t>
        </is>
      </c>
      <c r="D29" s="3" t="inlineStr">
        <is>
          <t>Opis</t>
        </is>
      </c>
      <c r="E29" s="3" t="n"/>
      <c r="F29" s="3" t="n"/>
      <c r="G29" s="16" t="n"/>
      <c r="H29" s="28" t="n"/>
    </row>
    <row r="30" ht="15" customHeight="1" s="51">
      <c r="A30" s="3" t="n"/>
      <c r="B30" s="3" t="n"/>
      <c r="D30" s="3" t="inlineStr">
        <is>
          <t>Przekazanie knowhow</t>
        </is>
      </c>
      <c r="E30" s="9" t="n"/>
      <c r="F30" s="3" t="inlineStr">
        <is>
          <t>knowhow</t>
        </is>
      </c>
      <c r="G30" s="16" t="n">
        <v>1250</v>
      </c>
      <c r="H30" s="28" t="n"/>
    </row>
    <row r="31" ht="15" customHeight="1" s="51">
      <c r="A31" s="3" t="n"/>
      <c r="B31" s="3" t="n"/>
      <c r="D31" s="3" t="inlineStr">
        <is>
          <t>Wykonanie skonsolidowanej dokumentacji architektury frontendu dla AI</t>
        </is>
      </c>
      <c r="E31" s="9" t="n"/>
      <c r="F31" s="2" t="inlineStr">
        <is>
          <t>AI SDLC</t>
        </is>
      </c>
      <c r="G31" s="16" t="n">
        <v>1250</v>
      </c>
      <c r="H31" s="28" t="n"/>
    </row>
    <row r="32" ht="15" customHeight="1" s="51">
      <c r="A32" s="3" t="n"/>
      <c r="B32" s="3" t="n"/>
      <c r="D32" s="3" t="inlineStr">
        <is>
          <t>Review prac po stronie</t>
        </is>
      </c>
      <c r="E32" s="9" t="n"/>
      <c r="F32" s="2" t="inlineStr">
        <is>
          <t>AI SDLC</t>
        </is>
      </c>
      <c r="G32" s="16" t="n">
        <v>1250</v>
      </c>
      <c r="H32" s="28" t="n"/>
    </row>
    <row r="33" ht="15" customHeight="1" s="51">
      <c r="A33" s="3" t="n"/>
      <c r="B33" s="3" t="n"/>
      <c r="D33" s="3" t="inlineStr">
        <is>
          <t>Suma IK.4</t>
        </is>
      </c>
      <c r="E33" s="9" t="n"/>
      <c r="F33" s="3" t="n"/>
      <c r="G33" s="16" t="n"/>
      <c r="H33" s="28">
        <f>SUM(G30:G32)</f>
        <v/>
      </c>
    </row>
    <row r="34" ht="15" customHeight="1" s="51">
      <c r="A34" s="3" t="n"/>
      <c r="B34" s="3" t="n"/>
      <c r="C34" s="11" t="n"/>
      <c r="D34" s="3" t="n"/>
      <c r="E34" s="3" t="n"/>
      <c r="F34" s="3" t="n"/>
      <c r="G34" s="16" t="n"/>
      <c r="H34" s="28" t="n"/>
    </row>
    <row r="35" ht="64" customHeight="1" s="51">
      <c r="A35" s="7" t="inlineStr">
        <is>
          <t>IK.5</t>
        </is>
      </c>
      <c r="B35" s="7" t="inlineStr">
        <is>
          <t>IK (Internal Knowledge)</t>
        </is>
      </c>
      <c r="C35" s="8" t="inlineStr">
        <is>
          <t>IK.5 - Skonsolidowana dokumentacja architektury backendu optymalna dla AI</t>
        </is>
      </c>
      <c r="D35" s="7" t="inlineStr">
        <is>
          <t>Sekcja</t>
        </is>
      </c>
      <c r="E35" s="3" t="n"/>
      <c r="F35" s="3" t="n"/>
      <c r="G35" s="16" t="n"/>
      <c r="H35" s="28" t="n"/>
      <c r="I35" s="74" t="inlineStr">
        <is>
          <t>Analityk: szybsza ocena impaktu na backend. Developer: AI generuje kod zgodny z wzorcami backendu. Reviewer: zgodność architektoniczna. QA: testy zgodne ze wzorcami.</t>
        </is>
      </c>
    </row>
    <row r="36" ht="15" customHeight="1" s="51">
      <c r="A36" s="3" t="n"/>
      <c r="B36" s="3" t="n"/>
      <c r="C36" s="53" t="inlineStr">
        <is>
          <t>Analiza: Ocena impakty zmian na backendzie. Development: AI generuje kod zgodny z lokalną architekturą i wzorcami. AI i developerzy mają jasne wzorce jak pisać backend - Beana, encje, procedury składowane i exception handling. Review: Reviewerzy sprawdzają zgodność z zasadami architektonicznymi backendu. Testing: Testy backendowe są spójne z przyjętymi wzorcami. AI rozumie strukturę i może pisać testy jednostkowe i integracyjne zgodne z wzorcami.</t>
        </is>
      </c>
      <c r="D36" s="3" t="inlineStr">
        <is>
          <t>Opis</t>
        </is>
      </c>
      <c r="E36" s="3" t="n"/>
      <c r="F36" s="3" t="n"/>
      <c r="G36" s="16" t="n"/>
      <c r="H36" s="28" t="n"/>
    </row>
    <row r="37" ht="15" customHeight="1" s="51">
      <c r="A37" s="3" t="n"/>
      <c r="B37" s="3" t="n"/>
      <c r="D37" s="3" t="inlineStr">
        <is>
          <t>Przekazanie knowhow</t>
        </is>
      </c>
      <c r="E37" s="9" t="n"/>
      <c r="F37" s="3" t="inlineStr">
        <is>
          <t>knowhow</t>
        </is>
      </c>
      <c r="G37" s="25" t="n">
        <v>1250</v>
      </c>
      <c r="H37" s="28" t="n"/>
    </row>
    <row r="38" ht="15" customHeight="1" s="51">
      <c r="A38" s="3" t="n"/>
      <c r="B38" s="3" t="n"/>
      <c r="D38" s="3" t="inlineStr">
        <is>
          <t>Wykonanie skonsolidowanej dokumentacji architektury backendu dla AI</t>
        </is>
      </c>
      <c r="E38" s="9" t="n"/>
      <c r="F38" s="2" t="inlineStr">
        <is>
          <t>AI SDLC</t>
        </is>
      </c>
      <c r="G38" s="25" t="n">
        <v>1250</v>
      </c>
      <c r="H38" s="28" t="n"/>
    </row>
    <row r="39" ht="15" customHeight="1" s="51">
      <c r="A39" s="3" t="n"/>
      <c r="B39" s="3" t="n"/>
      <c r="D39" s="3" t="inlineStr">
        <is>
          <t>Review prac po stronie</t>
        </is>
      </c>
      <c r="E39" s="9" t="n"/>
      <c r="F39" s="2" t="inlineStr">
        <is>
          <t>AI SDLC</t>
        </is>
      </c>
      <c r="G39" s="25" t="n">
        <v>1250</v>
      </c>
      <c r="H39" s="28" t="n"/>
    </row>
    <row r="40" ht="15" customHeight="1" s="51">
      <c r="A40" s="3" t="n"/>
      <c r="B40" s="3" t="n"/>
      <c r="D40" s="3" t="inlineStr">
        <is>
          <t>Suma IK.5</t>
        </is>
      </c>
      <c r="E40" s="9" t="n"/>
      <c r="F40" s="3" t="n"/>
      <c r="G40" s="25" t="n"/>
      <c r="H40" s="28">
        <f>SUM(G37:G39)</f>
        <v/>
      </c>
    </row>
    <row r="41" ht="15" customHeight="1" s="51">
      <c r="A41" s="3" t="n"/>
      <c r="B41" s="3" t="n"/>
      <c r="C41" s="11" t="n"/>
      <c r="D41" s="3" t="n"/>
      <c r="E41" s="3" t="n"/>
      <c r="F41" s="3" t="n"/>
      <c r="G41" s="16" t="n"/>
      <c r="H41" s="28" t="n"/>
    </row>
    <row r="42" ht="49" customHeight="1" s="51">
      <c r="A42" s="36" t="inlineStr">
        <is>
          <t>IK.7</t>
        </is>
      </c>
      <c r="B42" s="36" t="inlineStr">
        <is>
          <t>IK (Internal Knowledge)</t>
        </is>
      </c>
      <c r="C42" s="37" t="inlineStr">
        <is>
          <t>IK.7 - Implementacja obecnie brakujących scenariuszy e2e (pracochłonne dla wszystkich)</t>
        </is>
      </c>
      <c r="D42" s="36" t="inlineStr">
        <is>
          <t>Sekcja</t>
        </is>
      </c>
      <c r="E42" s="38" t="n"/>
      <c r="F42" s="38" t="n"/>
      <c r="G42" s="39" t="n"/>
      <c r="H42" s="40" t="n"/>
      <c r="I42" s="74" t="inlineStr">
        <is>
          <t>Analityk: brakujące scenariusze z AI. Developer: scenariusze z danymi. Reviewer: sprawdza pokrycie. QA: gotowe e2e.</t>
        </is>
      </c>
    </row>
    <row r="43" ht="15" customHeight="1" s="51">
      <c r="A43" s="38" t="n"/>
      <c r="B43" s="38" t="n"/>
      <c r="C43" s="54" t="inlineStr">
        <is>
          <t>Analiza: Analitycy przygotowują z AI brakujące scenariusze na bazie obecnego systemu i dokumentacji - obecnie testy są głównie manualne i słabo sformalizowane. Development: Developerzy wiedzą co dokładnie ma być zaimplementowane - dostają scenariusze z przykładowymi danymi. Review: Reviewerzy sprawdzają czy implementacja pokrywa wszystkie scenariusze. Testing: QA ma gotowe scenariusze e2e w pseudokodzie, które można automatycznie wykonywać. Usprawniamy pozyskiwanie danych testowych i deterministyczny reset scenariuszy.</t>
        </is>
      </c>
      <c r="D43" s="38" t="inlineStr">
        <is>
          <t>Opis</t>
        </is>
      </c>
      <c r="E43" s="38" t="n"/>
      <c r="F43" s="38" t="n"/>
      <c r="G43" s="39" t="n"/>
      <c r="H43" s="40" t="n"/>
    </row>
    <row r="44" ht="15" customHeight="1" s="51">
      <c r="A44" s="38" t="n"/>
      <c r="B44" s="38" t="n"/>
      <c r="D44" s="38" t="inlineStr">
        <is>
          <t>Przekazanie knowhow</t>
        </is>
      </c>
      <c r="E44" s="41" t="n"/>
      <c r="F44" s="38" t="inlineStr">
        <is>
          <t>knowhow</t>
        </is>
      </c>
      <c r="G44" s="39" t="n">
        <v>0</v>
      </c>
      <c r="H44" s="40" t="n"/>
    </row>
    <row r="45" ht="15" customHeight="1" s="51">
      <c r="A45" s="38" t="n"/>
      <c r="B45" s="38" t="n"/>
      <c r="D45" s="38" t="inlineStr">
        <is>
          <t>Przygotowanie i wdrożenie brakujących scenariuszy e2e</t>
        </is>
      </c>
      <c r="E45" s="41" t="n"/>
      <c r="F45" s="42" t="inlineStr">
        <is>
          <t>AI SDLC</t>
        </is>
      </c>
      <c r="G45" s="39" t="n">
        <v>0</v>
      </c>
      <c r="H45" s="40" t="n"/>
    </row>
    <row r="46" ht="15" customHeight="1" s="51">
      <c r="A46" s="38" t="n"/>
      <c r="B46" s="38" t="n"/>
      <c r="D46" s="38" t="inlineStr">
        <is>
          <t>Review prac po stronie</t>
        </is>
      </c>
      <c r="E46" s="41" t="n"/>
      <c r="F46" s="42" t="inlineStr">
        <is>
          <t>AI SDLC</t>
        </is>
      </c>
      <c r="G46" s="39" t="n">
        <v>0</v>
      </c>
      <c r="H46" s="40" t="n"/>
    </row>
    <row r="47" ht="36.75" customHeight="1" s="51">
      <c r="A47" s="38" t="n"/>
      <c r="B47" s="38" t="n"/>
      <c r="D47" s="38" t="inlineStr">
        <is>
          <t>Suma IK.7</t>
        </is>
      </c>
      <c r="E47" s="41" t="n"/>
      <c r="F47" s="38" t="n"/>
      <c r="G47" s="43" t="inlineStr">
        <is>
          <t>NIE DOSTĘPNE</t>
        </is>
      </c>
      <c r="H47" s="40">
        <f>SUM(G44:G46)</f>
        <v/>
      </c>
    </row>
    <row r="48" ht="15" customHeight="1" s="51">
      <c r="A48" s="3" t="n"/>
      <c r="B48" s="3" t="n"/>
      <c r="C48" s="11" t="n"/>
      <c r="D48" s="3" t="n"/>
      <c r="E48" s="3" t="n"/>
      <c r="F48" s="3" t="n"/>
      <c r="G48" s="16" t="n"/>
      <c r="H48" s="28" t="n"/>
    </row>
    <row r="49" ht="49" customHeight="1" s="51">
      <c r="A49" s="7" t="inlineStr">
        <is>
          <t>EK.1</t>
        </is>
      </c>
      <c r="B49" s="7" t="inlineStr">
        <is>
          <t>EK (External Knowledge)</t>
        </is>
      </c>
      <c r="C49" s="8" t="inlineStr">
        <is>
          <t>EK.1 - Instrukcje AI dla pracy ze źródłami regulatorów: KNF / UE</t>
        </is>
      </c>
      <c r="D49" s="7" t="inlineStr">
        <is>
          <t>Sekcja</t>
        </is>
      </c>
      <c r="E49" s="3" t="n"/>
      <c r="F49" s="3" t="n"/>
      <c r="G49" s="16" t="n"/>
      <c r="H49" s="28" t="n"/>
      <c r="I49" s="74" t="inlineStr">
        <is>
          <t>Analityk: AI rozbudowuje wymagania regulacyjne, generuje pytania doprecyzowujące, weryfikuje analizę vs źródła.</t>
        </is>
      </c>
    </row>
    <row r="50" ht="15" customHeight="1" s="51">
      <c r="A50" s="3" t="n"/>
      <c r="B50" s="3" t="n"/>
      <c r="C50" s="53" t="inlineStr">
        <is>
          <t>Analitycy używają AI do rozbudowywania wstępnych wymagań (w tym KNF/UE) i generowania pytań doprecyzowujących przed warsztatami z klientem. AI sprawdza analizę vs źródłami regulatorów - przyspiesza pracę, ale nie zwalnia analityka z odpowiedzialności.</t>
        </is>
      </c>
      <c r="D50" s="3" t="inlineStr">
        <is>
          <t>Opis</t>
        </is>
      </c>
      <c r="E50" s="3" t="n"/>
      <c r="F50" s="3" t="n"/>
      <c r="G50" s="16" t="n"/>
      <c r="H50" s="28" t="n"/>
    </row>
    <row r="51" ht="15" customHeight="1" s="51">
      <c r="A51" s="3" t="n"/>
      <c r="B51" s="3" t="n"/>
      <c r="D51" s="3" t="inlineStr">
        <is>
          <t>Przekazanie knowhow</t>
        </is>
      </c>
      <c r="E51" s="9" t="n"/>
      <c r="F51" s="3" t="inlineStr">
        <is>
          <t>knowhow</t>
        </is>
      </c>
      <c r="G51" s="16" t="n">
        <v>1250</v>
      </c>
      <c r="H51" s="28" t="n"/>
    </row>
    <row r="52" ht="15" customHeight="1" s="51">
      <c r="A52" s="3" t="n"/>
      <c r="B52" s="3" t="n"/>
      <c r="D52" s="3" t="inlineStr">
        <is>
          <t>Przygotowanie instrukcji AI do pracy ze źródłami regulatorów KNF i UE</t>
        </is>
      </c>
      <c r="E52" s="9" t="n"/>
      <c r="F52" s="2" t="inlineStr">
        <is>
          <t>AI SDLC</t>
        </is>
      </c>
      <c r="G52" s="16" t="n">
        <v>1250</v>
      </c>
      <c r="H52" s="28" t="n"/>
    </row>
    <row r="53" ht="15" customHeight="1" s="51">
      <c r="A53" s="3" t="n"/>
      <c r="B53" s="3" t="n"/>
      <c r="D53" s="3" t="inlineStr">
        <is>
          <t>Review prac po stronie</t>
        </is>
      </c>
      <c r="E53" s="9" t="n"/>
      <c r="F53" s="2" t="inlineStr">
        <is>
          <t>AI SDLC</t>
        </is>
      </c>
      <c r="G53" s="16" t="n">
        <v>300</v>
      </c>
      <c r="H53" s="28" t="n"/>
    </row>
    <row r="54" ht="15" customHeight="1" s="51">
      <c r="A54" s="3" t="n"/>
      <c r="B54" s="3" t="n"/>
      <c r="D54" s="3" t="inlineStr">
        <is>
          <t>Suma EK.1</t>
        </is>
      </c>
      <c r="E54" s="9" t="n"/>
      <c r="F54" s="3" t="n"/>
      <c r="G54" s="16" t="n"/>
      <c r="H54" s="28">
        <f>SUM(G51:G53)</f>
        <v/>
      </c>
    </row>
    <row r="55" ht="15" customHeight="1" s="51">
      <c r="A55" s="3" t="n"/>
      <c r="B55" s="3" t="n"/>
      <c r="C55" s="11" t="n"/>
      <c r="D55" s="3" t="n"/>
      <c r="E55" s="3" t="n"/>
      <c r="F55" s="3" t="n"/>
      <c r="G55" s="16" t="n"/>
      <c r="H55" s="28" t="n"/>
    </row>
    <row r="56" ht="34" customHeight="1" s="51">
      <c r="A56" s="7" t="inlineStr">
        <is>
          <t>TL.1</t>
        </is>
      </c>
      <c r="B56" s="7" t="inlineStr">
        <is>
          <t>Analiza</t>
        </is>
      </c>
      <c r="C56" s="8" t="inlineStr">
        <is>
          <t>TL.1 - Przygotowanie narzędzi dla AI dedykowanych dla Analityków (UI z dostępem do baz wiedzy i tooli, podobnie jak dla developerów)</t>
        </is>
      </c>
      <c r="D56" s="7" t="inlineStr">
        <is>
          <t>Sekcja</t>
        </is>
      </c>
      <c r="E56" s="3" t="n"/>
      <c r="F56" s="3" t="n"/>
      <c r="G56" s="16" t="n"/>
      <c r="H56" s="28" t="n"/>
      <c r="I56" s="74" t="inlineStr">
        <is>
          <t>Analityk: dedykowane środowisko AI do analizy i review dokumentów.</t>
        </is>
      </c>
    </row>
    <row r="57" ht="15" customHeight="1" s="51">
      <c r="A57" s="3" t="n"/>
      <c r="B57" s="3" t="n"/>
      <c r="C57" s="53" t="inlineStr">
        <is>
          <t>Analitycy zyskują dedykowane środowisko pracy z AI, które wspiera ich na wejściu procesu - rozbudowuje wstępne wymagania, generuje pytania doprecyzowujące przed warsztatami z klientem. Wsparcie przy przeglądzie Review dokumentów analitycznych. Impakt na kod.</t>
        </is>
      </c>
      <c r="D57" s="3" t="inlineStr">
        <is>
          <t>Opis</t>
        </is>
      </c>
      <c r="E57" s="3" t="n"/>
      <c r="F57" s="3" t="n"/>
      <c r="G57" s="16" t="n"/>
      <c r="H57" s="28" t="n"/>
    </row>
    <row r="58" ht="15" customHeight="1" s="51">
      <c r="A58" s="3" t="n"/>
      <c r="B58" s="3" t="n"/>
      <c r="D58" s="3" t="inlineStr">
        <is>
          <t>Przekazanie knowhow</t>
        </is>
      </c>
      <c r="E58" s="9" t="n"/>
      <c r="F58" s="3" t="inlineStr">
        <is>
          <t>knowhow</t>
        </is>
      </c>
      <c r="G58" s="16" t="n">
        <v>1250</v>
      </c>
      <c r="H58" s="28" t="n"/>
    </row>
    <row r="59" ht="15" customHeight="1" s="51">
      <c r="A59" s="3" t="n"/>
      <c r="B59" s="3" t="n"/>
      <c r="D59" s="3" t="inlineStr">
        <is>
          <t>Dostosowanie narzędzi AI dedykowanych analitykom</t>
        </is>
      </c>
      <c r="E59" s="9" t="n"/>
      <c r="F59" s="2" t="inlineStr">
        <is>
          <t>AI SDLC</t>
        </is>
      </c>
      <c r="G59" s="16" t="n">
        <v>1250</v>
      </c>
      <c r="H59" s="28" t="n"/>
    </row>
    <row r="60" ht="15" customHeight="1" s="51">
      <c r="A60" s="3" t="n"/>
      <c r="B60" s="3" t="n"/>
      <c r="D60" s="3" t="inlineStr">
        <is>
          <t>Review prac po stronie</t>
        </is>
      </c>
      <c r="E60" s="9" t="n"/>
      <c r="F60" s="2" t="inlineStr">
        <is>
          <t>AI SDLC</t>
        </is>
      </c>
      <c r="G60" s="16" t="n">
        <v>0</v>
      </c>
      <c r="H60" s="28" t="n"/>
    </row>
    <row r="61" ht="15" customHeight="1" s="51">
      <c r="A61" s="3" t="n"/>
      <c r="B61" s="3" t="n"/>
      <c r="D61" s="3" t="inlineStr">
        <is>
          <t>Suma TL.1</t>
        </is>
      </c>
      <c r="E61" s="9" t="n"/>
      <c r="F61" s="3" t="n"/>
      <c r="G61" s="16" t="n"/>
      <c r="H61" s="28">
        <f>SUM(G58:G60)</f>
        <v/>
      </c>
    </row>
    <row r="62" ht="15" customHeight="1" s="51">
      <c r="A62" s="3" t="n"/>
      <c r="B62" s="3" t="n"/>
      <c r="C62" s="11" t="n"/>
      <c r="D62" s="3" t="n"/>
      <c r="E62" s="3" t="n"/>
      <c r="F62" s="3" t="n"/>
      <c r="G62" s="16" t="n"/>
      <c r="H62" s="28" t="n"/>
    </row>
    <row r="63" ht="32" customHeight="1" s="51">
      <c r="A63" s="7" t="inlineStr">
        <is>
          <t>TL.2</t>
        </is>
      </c>
      <c r="B63" s="7" t="inlineStr">
        <is>
          <t>Analiza</t>
        </is>
      </c>
      <c r="C63" s="8" t="inlineStr">
        <is>
          <t>TL.2 - Instrukcje AI do Review Analizy (Gap analysis / Spike Analysis, brakujące elementy, zasady jakościowe, definition of ready)</t>
        </is>
      </c>
      <c r="D63" s="7" t="inlineStr">
        <is>
          <t>Sekcja</t>
        </is>
      </c>
      <c r="E63" s="3" t="n"/>
      <c r="F63" s="3" t="n"/>
      <c r="G63" s="16" t="n"/>
      <c r="H63" s="28" t="n"/>
    </row>
    <row r="64" ht="15" customHeight="1" s="51">
      <c r="A64" s="3" t="n"/>
      <c r="B64" s="3" t="n"/>
      <c r="C64" s="53" t="inlineStr">
        <is>
          <t>Wspieramy przeglądy dokumentów analitycznych: niespójności, braki, pominięty impact i różnice między wersjami. AI przygotowuje draft historyjek Jira i kryteriów akceptacji do zatwierdzenia przez BA/PO.</t>
        </is>
      </c>
      <c r="D64" s="3" t="inlineStr">
        <is>
          <t>Opis</t>
        </is>
      </c>
      <c r="E64" s="3" t="n"/>
      <c r="F64" s="3" t="n"/>
      <c r="G64" s="16" t="n"/>
      <c r="H64" s="28" t="n"/>
    </row>
    <row r="65" ht="15" customHeight="1" s="51">
      <c r="A65" s="3" t="n"/>
      <c r="B65" s="3" t="n"/>
      <c r="D65" s="3" t="inlineStr">
        <is>
          <t>Przekazanie knowhow</t>
        </is>
      </c>
      <c r="E65" s="9" t="n"/>
      <c r="F65" s="3" t="inlineStr">
        <is>
          <t>knowhow</t>
        </is>
      </c>
      <c r="G65" s="16" t="n">
        <v>1250</v>
      </c>
      <c r="H65" s="28" t="n"/>
    </row>
    <row r="66" ht="15" customHeight="1" s="51">
      <c r="A66" s="3" t="n"/>
      <c r="B66" s="3" t="n"/>
      <c r="D66" s="3" t="inlineStr">
        <is>
          <t>Dostosowanie instrukcji AI do review analizy</t>
        </is>
      </c>
      <c r="E66" s="9" t="n"/>
      <c r="F66" s="2" t="inlineStr">
        <is>
          <t>AI SDLC</t>
        </is>
      </c>
      <c r="G66" s="16" t="n">
        <v>1250</v>
      </c>
      <c r="H66" s="28" t="n"/>
    </row>
    <row r="67" ht="15" customHeight="1" s="51">
      <c r="A67" s="3" t="n"/>
      <c r="B67" s="3" t="n"/>
      <c r="D67" s="3" t="inlineStr">
        <is>
          <t>Review prac po stronie</t>
        </is>
      </c>
      <c r="E67" s="9" t="n"/>
      <c r="F67" s="2" t="inlineStr">
        <is>
          <t>AI SDLC</t>
        </is>
      </c>
      <c r="G67" s="16" t="n">
        <v>300</v>
      </c>
      <c r="H67" s="28" t="n"/>
    </row>
    <row r="68" ht="15" customHeight="1" s="51">
      <c r="A68" s="3" t="n"/>
      <c r="B68" s="3" t="n"/>
      <c r="D68" s="3" t="inlineStr">
        <is>
          <t>Suma TL.2</t>
        </is>
      </c>
      <c r="E68" s="9" t="n"/>
      <c r="F68" s="3" t="n"/>
      <c r="G68" s="16" t="n"/>
      <c r="H68" s="28">
        <f>SUM(G65:G67)</f>
        <v/>
      </c>
    </row>
    <row r="69" ht="15" customHeight="1" s="51">
      <c r="A69" s="3" t="n"/>
      <c r="B69" s="3" t="n"/>
      <c r="C69" s="11" t="n"/>
      <c r="D69" s="3" t="n"/>
      <c r="E69" s="3" t="n"/>
      <c r="F69" s="3" t="n"/>
      <c r="G69" s="16" t="n"/>
      <c r="H69" s="28" t="n"/>
    </row>
    <row r="70" ht="32" customHeight="1" s="51">
      <c r="A70" s="7" t="inlineStr">
        <is>
          <t>TL.2.1</t>
        </is>
      </c>
      <c r="B70" s="7" t="inlineStr">
        <is>
          <t>Analiza</t>
        </is>
      </c>
      <c r="C70" s="8" t="inlineStr">
        <is>
          <t>TL.2.1 - Instrukcje AI do Review Analizy vs. źródłami regulatorów: KNF / UE (przyśpiesza, nie zwalnia analityka z odpowiedzialności)</t>
        </is>
      </c>
      <c r="D70" s="7" t="inlineStr">
        <is>
          <t>Sekcja</t>
        </is>
      </c>
      <c r="E70" s="3" t="n"/>
      <c r="F70" s="3" t="n"/>
      <c r="G70" s="16" t="n"/>
      <c r="H70" s="28" t="n"/>
    </row>
    <row r="71" ht="15" customHeight="1" s="51">
      <c r="A71" s="3" t="n"/>
      <c r="B71" s="3" t="n"/>
      <c r="C71" s="53" t="inlineStr">
        <is>
          <t>AI automatycznie weryfikuje analizę pod kątem zgodności z regulacjami KNF/UE, przyspieszając pracę analityka, który zachowuje pełną odpowiedzialność za decyzje.</t>
        </is>
      </c>
      <c r="D71" s="3" t="inlineStr">
        <is>
          <t>Opis</t>
        </is>
      </c>
      <c r="E71" s="3" t="n"/>
      <c r="F71" s="3" t="n"/>
      <c r="G71" s="16" t="n"/>
      <c r="H71" s="28" t="n"/>
    </row>
    <row r="72" ht="15" customHeight="1" s="51">
      <c r="A72" s="3" t="n"/>
      <c r="B72" s="3" t="n"/>
      <c r="D72" s="3" t="inlineStr">
        <is>
          <t>Przekazanie knowhow</t>
        </is>
      </c>
      <c r="E72" s="9" t="n"/>
      <c r="F72" s="3" t="inlineStr">
        <is>
          <t>knowhow</t>
        </is>
      </c>
      <c r="G72" s="16" t="n">
        <v>1250</v>
      </c>
      <c r="H72" s="28" t="n"/>
    </row>
    <row r="73" ht="15" customHeight="1" s="51">
      <c r="A73" s="3" t="n"/>
      <c r="B73" s="3" t="n"/>
      <c r="D73" s="3" t="inlineStr">
        <is>
          <t>Przygotowanie instrukcji AI do review analizy względem źródeł regulatorów KNF i UE</t>
        </is>
      </c>
      <c r="E73" s="9" t="n"/>
      <c r="F73" s="2" t="inlineStr">
        <is>
          <t>AI SDLC</t>
        </is>
      </c>
      <c r="G73" s="16" t="n">
        <v>1250</v>
      </c>
      <c r="H73" s="28" t="n"/>
    </row>
    <row r="74" ht="15" customHeight="1" s="51">
      <c r="A74" s="3" t="n"/>
      <c r="B74" s="3" t="n"/>
      <c r="D74" s="3" t="inlineStr">
        <is>
          <t>Review prac po stronie</t>
        </is>
      </c>
      <c r="E74" s="9" t="n"/>
      <c r="F74" s="2" t="inlineStr">
        <is>
          <t>AI SDLC</t>
        </is>
      </c>
      <c r="G74" s="16" t="n">
        <v>0</v>
      </c>
      <c r="H74" s="28" t="n"/>
    </row>
    <row r="75" ht="15" customHeight="1" s="51">
      <c r="A75" s="3" t="n"/>
      <c r="B75" s="3" t="n"/>
      <c r="D75" s="3" t="inlineStr">
        <is>
          <t>Suma TL.2.1</t>
        </is>
      </c>
      <c r="E75" s="9" t="n"/>
      <c r="F75" s="3" t="n"/>
      <c r="G75" s="16" t="n"/>
      <c r="H75" s="28">
        <f>SUM(G72:G74)</f>
        <v/>
      </c>
    </row>
    <row r="76" ht="15" customHeight="1" s="51">
      <c r="A76" s="3" t="n"/>
      <c r="B76" s="3" t="n"/>
      <c r="C76" s="11" t="n"/>
      <c r="D76" s="3" t="n"/>
      <c r="E76" s="3" t="n"/>
      <c r="F76" s="3" t="n"/>
      <c r="G76" s="16" t="n"/>
      <c r="H76" s="28" t="n"/>
    </row>
    <row r="77" ht="32" customHeight="1" s="51">
      <c r="A77" s="7" t="inlineStr">
        <is>
          <t>TL.3</t>
        </is>
      </c>
      <c r="B77" s="7" t="inlineStr">
        <is>
          <t>Analiza</t>
        </is>
      </c>
      <c r="C77" s="8" t="inlineStr">
        <is>
          <t>TL.3 - Instrukcje AI do generowania wstępnych diagramów BPMN / UML (edytowalnych, bez integracji z Enterprise Architect)</t>
        </is>
      </c>
      <c r="D77" s="7" t="inlineStr">
        <is>
          <t>Sekcja</t>
        </is>
      </c>
      <c r="E77" s="3" t="n"/>
      <c r="F77" s="3" t="n"/>
      <c r="G77" s="16" t="n"/>
      <c r="H77" s="28" t="n"/>
    </row>
    <row r="78" ht="15" customHeight="1" s="51">
      <c r="A78" s="3" t="n"/>
      <c r="B78" s="3" t="n"/>
      <c r="C78" s="53" t="inlineStr">
        <is>
          <t>Po napisaniu opisu zmian AI generuje wstępne diagramy BPMN/UML, które analityk może edytować lub iterować z AI. Skraca to czas tworzenia dokumentacji procesowej.</t>
        </is>
      </c>
      <c r="D78" s="3" t="inlineStr">
        <is>
          <t>Opis</t>
        </is>
      </c>
      <c r="E78" s="3" t="n"/>
      <c r="F78" s="3" t="n"/>
      <c r="G78" s="16" t="n"/>
      <c r="H78" s="28" t="n"/>
    </row>
    <row r="79" ht="15" customHeight="1" s="51">
      <c r="A79" s="3" t="n"/>
      <c r="B79" s="3" t="n"/>
      <c r="D79" s="3" t="inlineStr">
        <is>
          <t>Przekazanie knowhow</t>
        </is>
      </c>
      <c r="E79" s="9" t="n"/>
      <c r="F79" s="3" t="inlineStr">
        <is>
          <t>knowhow</t>
        </is>
      </c>
      <c r="G79" s="16" t="n">
        <v>500</v>
      </c>
      <c r="H79" s="28" t="n"/>
    </row>
    <row r="80" ht="15" customHeight="1" s="51">
      <c r="A80" s="3" t="n"/>
      <c r="B80" s="3" t="n"/>
      <c r="D80" s="3" t="inlineStr">
        <is>
          <t>Dostosowanie  instrukcji AI do generowania wstępnych diagramów BPMN i UML</t>
        </is>
      </c>
      <c r="E80" s="9" t="n"/>
      <c r="F80" s="2" t="inlineStr">
        <is>
          <t>AI SDLC</t>
        </is>
      </c>
      <c r="G80" s="16" t="n">
        <v>900</v>
      </c>
      <c r="H80" s="28" t="n"/>
    </row>
    <row r="81" ht="15" customHeight="1" s="51">
      <c r="A81" s="3" t="n"/>
      <c r="B81" s="3" t="n"/>
      <c r="D81" s="3" t="inlineStr">
        <is>
          <t>Review prac po stronie</t>
        </is>
      </c>
      <c r="E81" s="9" t="n"/>
      <c r="F81" s="2" t="inlineStr">
        <is>
          <t>AI SDLC</t>
        </is>
      </c>
      <c r="G81" s="16" t="n">
        <v>0</v>
      </c>
      <c r="H81" s="28" t="n"/>
    </row>
    <row r="82" ht="15" customHeight="1" s="51">
      <c r="A82" s="3" t="n"/>
      <c r="B82" s="3" t="n"/>
      <c r="D82" s="3" t="inlineStr">
        <is>
          <t>Suma TL.3</t>
        </is>
      </c>
      <c r="E82" s="9" t="n"/>
      <c r="F82" s="3" t="n"/>
      <c r="G82" s="16" t="n"/>
      <c r="H82" s="28">
        <f>SUM(G79:G81)</f>
        <v/>
      </c>
    </row>
    <row r="83" ht="15" customHeight="1" s="51">
      <c r="A83" s="3" t="n"/>
      <c r="B83" s="3" t="n"/>
      <c r="C83" s="11" t="n"/>
      <c r="D83" s="3" t="n"/>
      <c r="E83" s="3" t="n"/>
      <c r="F83" s="3" t="n"/>
      <c r="G83" s="16" t="n"/>
      <c r="H83" s="28" t="n"/>
    </row>
    <row r="84" ht="32" customHeight="1" s="51">
      <c r="A84" s="7" t="inlineStr">
        <is>
          <t>TL.4</t>
        </is>
      </c>
      <c r="B84" s="7" t="inlineStr">
        <is>
          <t>Analiza</t>
        </is>
      </c>
      <c r="C84" s="8" t="inlineStr">
        <is>
          <t>TL.4 - Instrukcje/narzędzia dla AI do generowania wstępnego (low fidelity) UI / UX. (bez integracji z Enterprise Architect)</t>
        </is>
      </c>
      <c r="D84" s="7" t="inlineStr">
        <is>
          <t>Sekcja</t>
        </is>
      </c>
      <c r="E84" s="3" t="n"/>
      <c r="F84" s="3" t="n"/>
      <c r="G84" s="16" t="n"/>
      <c r="H84" s="28" t="n"/>
    </row>
    <row r="85" ht="15" customHeight="1" s="51">
      <c r="A85" s="3" t="n"/>
      <c r="B85" s="3" t="n"/>
      <c r="C85" s="53" t="inlineStr">
        <is>
          <t>AI generuje wstępny (low fidelity) UI/UX na podstawie opisu zmian, co pozwala szybko zwizualizować proponowane rozwiązanie przed rozpoczęciem implementacji.</t>
        </is>
      </c>
      <c r="D85" s="3" t="inlineStr">
        <is>
          <t>Opis</t>
        </is>
      </c>
      <c r="E85" s="3" t="n"/>
      <c r="F85" s="3" t="n"/>
      <c r="G85" s="16" t="n"/>
      <c r="H85" s="28" t="n"/>
    </row>
    <row r="86" ht="15" customHeight="1" s="51">
      <c r="A86" s="3" t="n"/>
      <c r="B86" s="3" t="n"/>
      <c r="D86" s="3" t="inlineStr">
        <is>
          <t>Przekazanie knowhow</t>
        </is>
      </c>
      <c r="E86" s="9" t="n"/>
      <c r="F86" s="3" t="inlineStr">
        <is>
          <t>knowhow</t>
        </is>
      </c>
      <c r="G86" s="16" t="n">
        <v>500</v>
      </c>
      <c r="H86" s="28" t="n"/>
    </row>
    <row r="87" ht="15" customHeight="1" s="51">
      <c r="A87" s="3" t="n"/>
      <c r="B87" s="3" t="n"/>
      <c r="D87" s="3" t="inlineStr">
        <is>
          <t>Dostosowanie  instrukcji i narzędzi AI do generowania wstępnego UI i UX</t>
        </is>
      </c>
      <c r="E87" s="9" t="n"/>
      <c r="F87" s="2" t="inlineStr">
        <is>
          <t>AI SDLC</t>
        </is>
      </c>
      <c r="G87" s="16" t="n">
        <v>400</v>
      </c>
      <c r="H87" s="28" t="n"/>
    </row>
    <row r="88" ht="15" customHeight="1" s="51">
      <c r="A88" s="3" t="n"/>
      <c r="B88" s="3" t="n"/>
      <c r="D88" s="3" t="inlineStr">
        <is>
          <t>Review prac po stronie</t>
        </is>
      </c>
      <c r="E88" s="9" t="n"/>
      <c r="F88" s="2" t="inlineStr">
        <is>
          <t>AI SDLC</t>
        </is>
      </c>
      <c r="G88" s="16" t="n">
        <v>0</v>
      </c>
      <c r="H88" s="28" t="n"/>
    </row>
    <row r="89" ht="15" customHeight="1" s="51">
      <c r="A89" s="3" t="n"/>
      <c r="B89" s="3" t="n"/>
      <c r="D89" s="3" t="inlineStr">
        <is>
          <t>Suma TL.4</t>
        </is>
      </c>
      <c r="E89" s="9" t="n"/>
      <c r="F89" s="3" t="n"/>
      <c r="G89" s="16" t="n"/>
      <c r="H89" s="28">
        <f>SUM(G86:G88)</f>
        <v/>
      </c>
    </row>
    <row r="90" ht="15" customHeight="1" s="51">
      <c r="A90" s="3" t="n"/>
      <c r="B90" s="3" t="n"/>
      <c r="C90" s="11" t="n"/>
      <c r="D90" s="3" t="n"/>
      <c r="E90" s="3" t="n"/>
      <c r="F90" s="3" t="n"/>
      <c r="G90" s="16" t="n"/>
      <c r="H90" s="28" t="n"/>
    </row>
    <row r="91" ht="32" customHeight="1" s="51">
      <c r="A91" s="7" t="inlineStr">
        <is>
          <t>TL.5</t>
        </is>
      </c>
      <c r="B91" s="7" t="inlineStr">
        <is>
          <t>Analiza</t>
        </is>
      </c>
      <c r="C91" s="8" t="inlineStr">
        <is>
          <t>TL.5 - Instrukcja dla AI proponowania scenariuszy w oparciu o analizę (ui, validacje, reguły, przykłady danych) (forma dla człowieka)</t>
        </is>
      </c>
      <c r="D91" s="7" t="inlineStr">
        <is>
          <t>Sekcja</t>
        </is>
      </c>
      <c r="E91" s="3" t="n"/>
      <c r="F91" s="3" t="n"/>
      <c r="G91" s="16" t="n"/>
      <c r="H91" s="28" t="n"/>
    </row>
    <row r="92" ht="15" customHeight="1" s="51">
      <c r="A92" s="3" t="n"/>
      <c r="B92" s="3" t="n"/>
      <c r="C92" s="53" t="inlineStr">
        <is>
          <t>AI proponuje scenariusze testowe czytelne dla człowieka na podstawie analizy - UI, validacje, reguły, przykłady danych. Analitycy otrzymują gotowy draft do akceptacji przed przekazaniem do testów.</t>
        </is>
      </c>
      <c r="D92" s="3" t="inlineStr">
        <is>
          <t>Opis</t>
        </is>
      </c>
      <c r="E92" s="3" t="n"/>
      <c r="F92" s="3" t="n"/>
      <c r="G92" s="16" t="n"/>
      <c r="H92" s="28" t="n"/>
    </row>
    <row r="93" ht="15" customHeight="1" s="51">
      <c r="A93" s="3" t="n"/>
      <c r="B93" s="3" t="n"/>
      <c r="D93" s="3" t="inlineStr">
        <is>
          <t>Przekazanie knowhow</t>
        </is>
      </c>
      <c r="E93" s="9" t="n"/>
      <c r="F93" s="3" t="inlineStr">
        <is>
          <t>knowhow</t>
        </is>
      </c>
      <c r="G93" s="16" t="n">
        <v>500</v>
      </c>
      <c r="H93" s="28" t="n"/>
    </row>
    <row r="94" ht="15" customHeight="1" s="51">
      <c r="A94" s="3" t="n"/>
      <c r="B94" s="3" t="n"/>
      <c r="D94" s="3" t="inlineStr">
        <is>
          <t>Dostosowanie instrukcji AI do proponowania scenariuszy na podstawie analizy</t>
        </is>
      </c>
      <c r="E94" s="9" t="n"/>
      <c r="F94" s="2" t="inlineStr">
        <is>
          <t>AI SDLC</t>
        </is>
      </c>
      <c r="G94" s="16" t="n">
        <v>300</v>
      </c>
      <c r="H94" s="28" t="n"/>
    </row>
    <row r="95" ht="15" customHeight="1" s="51">
      <c r="A95" s="3" t="n"/>
      <c r="B95" s="3" t="n"/>
      <c r="D95" s="3" t="inlineStr">
        <is>
          <t>Review prac po stronie</t>
        </is>
      </c>
      <c r="E95" s="9" t="n"/>
      <c r="F95" s="2" t="inlineStr">
        <is>
          <t>AI SDLC</t>
        </is>
      </c>
      <c r="G95" s="16" t="n">
        <v>225</v>
      </c>
      <c r="H95" s="28" t="n"/>
    </row>
    <row r="96" ht="15" customHeight="1" s="51">
      <c r="A96" s="3" t="n"/>
      <c r="B96" s="3" t="n"/>
      <c r="D96" s="3" t="inlineStr">
        <is>
          <t>Suma TL.5</t>
        </is>
      </c>
      <c r="E96" s="9" t="n"/>
      <c r="F96" s="3" t="n"/>
      <c r="G96" s="16" t="n"/>
      <c r="H96" s="28">
        <f>SUM(G93:G95)</f>
        <v/>
      </c>
    </row>
    <row r="97" ht="15" customHeight="1" s="51">
      <c r="A97" s="3" t="n"/>
      <c r="B97" s="3" t="n"/>
      <c r="C97" s="11" t="n"/>
      <c r="D97" s="3" t="n"/>
      <c r="E97" s="3" t="n"/>
      <c r="F97" s="3" t="n"/>
      <c r="G97" s="16" t="n"/>
      <c r="H97" s="28" t="n"/>
    </row>
    <row r="98" ht="15" customHeight="1" s="51">
      <c r="A98" s="3" t="n"/>
      <c r="B98" s="3" t="n"/>
      <c r="C98" s="11" t="n"/>
      <c r="D98" s="3" t="n"/>
      <c r="E98" s="3" t="n"/>
      <c r="F98" s="3" t="n"/>
      <c r="G98" s="16" t="n"/>
      <c r="H98" s="28" t="n"/>
    </row>
    <row r="99" ht="32" customHeight="1" s="51">
      <c r="A99" s="7" t="inlineStr">
        <is>
          <t>TL.29</t>
        </is>
      </c>
      <c r="B99" s="7" t="inlineStr">
        <is>
          <t>Analiza</t>
        </is>
      </c>
      <c r="C99" s="8" t="inlineStr">
        <is>
          <t>TL.29 - Integracja z Enterprise Architect (XMI export lub baza sqlserver lub Sparx Pro Cloud Service)</t>
        </is>
      </c>
      <c r="D99" s="7" t="inlineStr">
        <is>
          <t>Sekcja</t>
        </is>
      </c>
      <c r="E99" s="3" t="n"/>
      <c r="F99" s="3" t="n"/>
      <c r="G99" s="16" t="n"/>
      <c r="H99" s="28" t="n"/>
    </row>
    <row r="100" ht="15" customHeight="1" s="51">
      <c r="A100" s="3" t="n"/>
      <c r="B100" s="3" t="n"/>
      <c r="C100" s="53" t="inlineStr">
        <is>
          <t>Eksportujemy EA do formy przyjaznej AI (markdown + obrazy + indeks), aby wiedza dziedzinowa była wyszukiwalna. Raport impactu na zawartość Enterprise Architect.</t>
        </is>
      </c>
      <c r="D100" s="3" t="inlineStr">
        <is>
          <t>Opis</t>
        </is>
      </c>
      <c r="E100" s="3" t="n"/>
      <c r="F100" s="3" t="n"/>
      <c r="G100" s="16" t="n"/>
      <c r="H100" s="28" t="n"/>
    </row>
    <row r="101" ht="15" customHeight="1" s="51">
      <c r="A101" s="3" t="n"/>
      <c r="B101" s="3" t="n"/>
      <c r="D101" s="3" t="inlineStr">
        <is>
          <t>Przekazanie knowhow</t>
        </is>
      </c>
      <c r="E101" s="9" t="n"/>
      <c r="F101" s="3" t="inlineStr">
        <is>
          <t>knowhow</t>
        </is>
      </c>
      <c r="G101" s="16" t="n">
        <v>900</v>
      </c>
      <c r="H101" s="28" t="n"/>
    </row>
    <row r="102" ht="15" customHeight="1" s="51">
      <c r="A102" s="3" t="n"/>
      <c r="B102" s="3" t="n"/>
      <c r="D102" s="3" t="inlineStr">
        <is>
          <t>Integracja z Enterprise Architect</t>
        </is>
      </c>
      <c r="E102" s="9" t="n"/>
      <c r="F102" s="2" t="inlineStr">
        <is>
          <t>AI SDLC</t>
        </is>
      </c>
      <c r="G102" s="16" t="n">
        <v>1250</v>
      </c>
      <c r="H102" s="28" t="n"/>
    </row>
    <row r="103" ht="15" customHeight="1" s="51">
      <c r="A103" s="3" t="n"/>
      <c r="B103" s="3" t="n"/>
      <c r="D103" s="3" t="inlineStr">
        <is>
          <t>Review prac po stronie</t>
        </is>
      </c>
      <c r="E103" s="9" t="n"/>
      <c r="F103" s="2" t="inlineStr">
        <is>
          <t>AI SDLC</t>
        </is>
      </c>
      <c r="G103" s="16" t="n">
        <v>0</v>
      </c>
      <c r="H103" s="28" t="n"/>
    </row>
    <row r="104" ht="15" customHeight="1" s="51">
      <c r="A104" s="3" t="n"/>
      <c r="B104" s="3" t="n"/>
      <c r="D104" s="3" t="inlineStr">
        <is>
          <t>Suma TL.29</t>
        </is>
      </c>
      <c r="E104" s="9" t="n"/>
      <c r="F104" s="3" t="n"/>
      <c r="G104" s="16" t="n"/>
      <c r="H104" s="28">
        <f>SUM(G101:G103)</f>
        <v/>
      </c>
    </row>
    <row r="105" ht="15" customHeight="1" s="51">
      <c r="A105" s="3" t="n"/>
      <c r="B105" s="3" t="n"/>
      <c r="C105" s="11" t="n"/>
      <c r="D105" s="3" t="n"/>
      <c r="E105" s="3" t="n"/>
      <c r="F105" s="3" t="n"/>
      <c r="G105" s="16" t="n"/>
      <c r="H105" s="28" t="n"/>
    </row>
    <row r="106" ht="32" customHeight="1" s="51">
      <c r="A106" s="7" t="inlineStr">
        <is>
          <t>TL.30</t>
        </is>
      </c>
      <c r="B106" s="7" t="inlineStr">
        <is>
          <t>Analiza</t>
        </is>
      </c>
      <c r="C106" s="8" t="inlineStr">
        <is>
          <t>TL.30 - Sformułowanie zmian w Projekcie (dokumentacja analityczna) w speckę dla AI</t>
        </is>
      </c>
      <c r="D106" s="7" t="inlineStr">
        <is>
          <t>Sekcja</t>
        </is>
      </c>
      <c r="E106" s="3" t="n"/>
      <c r="F106" s="3" t="n"/>
      <c r="G106" s="16" t="n"/>
      <c r="H106" s="28" t="n"/>
    </row>
    <row r="107" ht="15" customHeight="1" s="51">
      <c r="A107" s="3" t="n"/>
      <c r="B107" s="3" t="n"/>
      <c r="C107" s="53" t="inlineStr">
        <is>
          <t>Dokumentacja analityczna jest automatycznie przekształcana w specyfikację dla AI, która rozumie kontekst biznesowy i może generować kod zgodny z intencją.</t>
        </is>
      </c>
      <c r="D107" s="3" t="inlineStr">
        <is>
          <t>Opis</t>
        </is>
      </c>
      <c r="E107" s="3" t="n"/>
      <c r="F107" s="3" t="n"/>
      <c r="G107" s="16" t="n"/>
      <c r="H107" s="28" t="n"/>
    </row>
    <row r="108" ht="15" customHeight="1" s="51">
      <c r="A108" s="3" t="n"/>
      <c r="B108" s="3" t="n"/>
      <c r="D108" s="3" t="inlineStr">
        <is>
          <t>Przekazanie knowhow</t>
        </is>
      </c>
      <c r="E108" s="9" t="n"/>
      <c r="F108" s="3" t="inlineStr">
        <is>
          <t>knowhow</t>
        </is>
      </c>
      <c r="G108" s="16" t="n">
        <v>1250</v>
      </c>
      <c r="H108" s="28" t="n"/>
    </row>
    <row r="109" ht="15" customHeight="1" s="51">
      <c r="A109" s="3" t="n"/>
      <c r="B109" s="3" t="n"/>
      <c r="D109" s="3" t="inlineStr">
        <is>
          <t>Przekształcenie dokumentacji analitycznej w specyfikację dla AI</t>
        </is>
      </c>
      <c r="E109" s="9" t="n"/>
      <c r="F109" s="2" t="inlineStr">
        <is>
          <t>AI SDLC</t>
        </is>
      </c>
      <c r="G109" s="16" t="n">
        <v>2000</v>
      </c>
      <c r="H109" s="28" t="n"/>
    </row>
    <row r="110" ht="15" customHeight="1" s="51">
      <c r="A110" s="3" t="n"/>
      <c r="B110" s="3" t="n"/>
      <c r="D110" s="3" t="inlineStr">
        <is>
          <t>Review prac po stronie</t>
        </is>
      </c>
      <c r="E110" s="9" t="n"/>
      <c r="F110" s="2" t="inlineStr">
        <is>
          <t>AI SDLC</t>
        </is>
      </c>
      <c r="G110" s="16" t="n">
        <v>500</v>
      </c>
      <c r="H110" s="28" t="n"/>
    </row>
    <row r="111" ht="15" customHeight="1" s="51">
      <c r="A111" s="3" t="n"/>
      <c r="B111" s="3" t="n"/>
      <c r="D111" s="3" t="inlineStr">
        <is>
          <t>Suma TL.30</t>
        </is>
      </c>
      <c r="E111" s="9" t="n"/>
      <c r="F111" s="3" t="n"/>
      <c r="G111" s="16" t="n"/>
      <c r="H111" s="28">
        <f>SUM(G108:G110)</f>
        <v/>
      </c>
    </row>
    <row r="112" ht="15" customHeight="1" s="51">
      <c r="A112" s="3" t="n"/>
      <c r="B112" s="3" t="n"/>
      <c r="C112" s="11" t="n"/>
      <c r="D112" s="3" t="n"/>
      <c r="E112" s="3" t="n"/>
      <c r="F112" s="3" t="n"/>
      <c r="G112" s="16" t="n"/>
      <c r="H112" s="28" t="n"/>
    </row>
    <row r="113" ht="32" customHeight="1" s="51">
      <c r="A113" s="7" t="inlineStr">
        <is>
          <t>TL.6 [Development]</t>
        </is>
      </c>
      <c r="B113" s="7" t="inlineStr">
        <is>
          <t>Development</t>
        </is>
      </c>
      <c r="C113" s="8" t="inlineStr">
        <is>
          <t>TL.6 [Development] - Reverse Engineering mapowania funkcjonalność na kod / architekturę (funkcjonalność -&gt; UI -&gt; Beans -&gt; baza danych)</t>
        </is>
      </c>
      <c r="D113" s="7" t="inlineStr">
        <is>
          <t>Sekcja</t>
        </is>
      </c>
      <c r="E113" s="3" t="n"/>
      <c r="F113" s="3" t="n"/>
      <c r="G113" s="16" t="n"/>
      <c r="H113" s="28" t="n"/>
    </row>
    <row r="114" ht="15" customHeight="1" s="51">
      <c r="A114" s="3" t="n"/>
      <c r="B114" s="3" t="n"/>
      <c r="C114" s="53" t="inlineStr">
        <is>
          <t>AI mapuje funkcjonalność na kod i architekturę (UI → Beans → baza danych), pozwalając developerom szybko zrozumieć, gdzie dokonać zmian i jakie będą tego konsekwencje.</t>
        </is>
      </c>
      <c r="D114" s="3" t="inlineStr">
        <is>
          <t>Opis</t>
        </is>
      </c>
      <c r="E114" s="3" t="n"/>
      <c r="F114" s="3" t="n"/>
      <c r="G114" s="16" t="n"/>
      <c r="H114" s="28" t="n"/>
    </row>
    <row r="115" ht="15" customHeight="1" s="51">
      <c r="A115" s="3" t="n"/>
      <c r="B115" s="3" t="n"/>
      <c r="D115" s="3" t="inlineStr">
        <is>
          <t>Przekazanie knowhow</t>
        </is>
      </c>
      <c r="E115" s="9" t="n"/>
      <c r="F115" s="3" t="inlineStr">
        <is>
          <t>knowhow</t>
        </is>
      </c>
      <c r="G115" s="16" t="n">
        <v>800</v>
      </c>
      <c r="H115" s="28" t="n"/>
    </row>
    <row r="116" ht="15" customHeight="1" s="51">
      <c r="A116" s="3" t="n"/>
      <c r="B116" s="3" t="n"/>
      <c r="D116" s="3" t="inlineStr">
        <is>
          <t>Wykonanie reverse engineering mapowania funkcjonalności na kod i architekturę</t>
        </is>
      </c>
      <c r="E116" s="9" t="n"/>
      <c r="F116" s="2" t="inlineStr">
        <is>
          <t>AI SDLC</t>
        </is>
      </c>
      <c r="G116" s="16" t="n">
        <v>1800</v>
      </c>
      <c r="H116" s="28" t="n"/>
    </row>
    <row r="117" ht="15" customHeight="1" s="51">
      <c r="A117" s="3" t="n"/>
      <c r="B117" s="3" t="n"/>
      <c r="D117" s="3" t="inlineStr">
        <is>
          <t>Review prac po stronie</t>
        </is>
      </c>
      <c r="E117" s="9" t="n"/>
      <c r="F117" s="2" t="inlineStr">
        <is>
          <t>AI SDLC</t>
        </is>
      </c>
      <c r="G117" s="16" t="n">
        <v>600</v>
      </c>
      <c r="H117" s="28" t="n"/>
    </row>
    <row r="118" ht="15" customHeight="1" s="51">
      <c r="A118" s="3" t="n"/>
      <c r="B118" s="3" t="n"/>
      <c r="D118" s="3" t="inlineStr">
        <is>
          <t>Suma TL.6 [Development]</t>
        </is>
      </c>
      <c r="E118" s="9" t="n"/>
      <c r="F118" s="3" t="n"/>
      <c r="G118" s="16" t="n"/>
      <c r="H118" s="28">
        <f>SUM(G115:G117)</f>
        <v/>
      </c>
    </row>
    <row r="119" ht="15" customHeight="1" s="51">
      <c r="A119" s="3" t="n"/>
      <c r="B119" s="3" t="n"/>
      <c r="C119" s="11" t="n"/>
      <c r="D119" s="3" t="n"/>
      <c r="E119" s="3" t="n"/>
      <c r="F119" s="3" t="n"/>
      <c r="G119" s="16" t="n"/>
      <c r="H119" s="28" t="n"/>
    </row>
    <row r="120" ht="32" customHeight="1" s="51">
      <c r="A120" s="7" t="inlineStr">
        <is>
          <t>TL.9</t>
        </is>
      </c>
      <c r="B120" s="7" t="inlineStr">
        <is>
          <t>Development</t>
        </is>
      </c>
      <c r="C120" s="8" t="inlineStr">
        <is>
          <t>TL.9 - Integracja AI z bazą oracle (readonly), analiza modelu, odpytywanie o przykładowe dane (dowolne dopuszczone środowisko np: testowe)</t>
        </is>
      </c>
      <c r="D120" s="7" t="inlineStr">
        <is>
          <t>Sekcja</t>
        </is>
      </c>
      <c r="E120" s="3" t="n"/>
      <c r="F120" s="3" t="n"/>
      <c r="G120" s="16" t="n"/>
      <c r="H120" s="28" t="n"/>
    </row>
    <row r="121" ht="15" customHeight="1" s="51">
      <c r="A121" s="3" t="n"/>
      <c r="B121" s="3" t="n"/>
      <c r="C121" s="53" t="inlineStr">
        <is>
          <t>Developerzy mogą poprzez agenta odpytywać bazę Oracle o przykładowe dane, weryfikować zmiany po teście. Skraca to czas weryfikacji i troubleshootingu.</t>
        </is>
      </c>
      <c r="D121" s="3" t="inlineStr">
        <is>
          <t>Opis</t>
        </is>
      </c>
      <c r="E121" s="3" t="n"/>
      <c r="F121" s="3" t="n"/>
      <c r="G121" s="16" t="n"/>
      <c r="H121" s="28" t="n"/>
    </row>
    <row r="122" ht="15" customHeight="1" s="51">
      <c r="A122" s="3" t="n"/>
      <c r="B122" s="3" t="n"/>
      <c r="D122" s="3" t="inlineStr">
        <is>
          <t>Przekazanie knowhow</t>
        </is>
      </c>
      <c r="E122" s="9" t="n"/>
      <c r="F122" s="3" t="inlineStr">
        <is>
          <t>knowhow</t>
        </is>
      </c>
      <c r="G122" s="16" t="n">
        <v>500</v>
      </c>
      <c r="H122" s="28" t="n"/>
    </row>
    <row r="123" ht="15" customHeight="1" s="51">
      <c r="A123" s="3" t="n"/>
      <c r="B123" s="3" t="n"/>
      <c r="D123" s="3" t="inlineStr">
        <is>
          <t>Integracja AI z bazą Oracle i dostosowanie do projektu</t>
        </is>
      </c>
      <c r="E123" s="9" t="n"/>
      <c r="F123" s="2" t="inlineStr">
        <is>
          <t>AI SDLC</t>
        </is>
      </c>
      <c r="G123" s="16" t="n">
        <v>800</v>
      </c>
      <c r="H123" s="28" t="n"/>
    </row>
    <row r="124" ht="15" customHeight="1" s="51">
      <c r="A124" s="3" t="n"/>
      <c r="B124" s="3" t="n"/>
      <c r="D124" s="3" t="inlineStr">
        <is>
          <t>Review prac po stronie</t>
        </is>
      </c>
      <c r="E124" s="9" t="n"/>
      <c r="F124" s="2" t="inlineStr">
        <is>
          <t>AI SDLC</t>
        </is>
      </c>
      <c r="G124" s="16" t="n">
        <v>600</v>
      </c>
      <c r="H124" s="28" t="n"/>
    </row>
    <row r="125" ht="15" customHeight="1" s="51">
      <c r="A125" s="3" t="n"/>
      <c r="B125" s="3" t="n"/>
      <c r="D125" s="3" t="inlineStr">
        <is>
          <t>Suma TL.9</t>
        </is>
      </c>
      <c r="E125" s="9" t="n"/>
      <c r="F125" s="3" t="n"/>
      <c r="G125" s="16" t="n"/>
      <c r="H125" s="28">
        <f>SUM(G122:G124)</f>
        <v/>
      </c>
    </row>
    <row r="126" ht="15" customHeight="1" s="51">
      <c r="A126" s="3" t="n"/>
      <c r="B126" s="3" t="n"/>
      <c r="C126" s="11" t="n"/>
      <c r="D126" s="3" t="n"/>
      <c r="E126" s="3" t="n"/>
      <c r="F126" s="3" t="n"/>
      <c r="G126" s="16" t="n"/>
      <c r="H126" s="28" t="n"/>
    </row>
    <row r="127" ht="16" customHeight="1" s="51">
      <c r="A127" s="7" t="inlineStr">
        <is>
          <t>TL.10</t>
        </is>
      </c>
      <c r="B127" s="7" t="inlineStr">
        <is>
          <t>Development</t>
        </is>
      </c>
      <c r="C127" s="8" t="inlineStr">
        <is>
          <t>TL.10 - Reverse Engineering zasad architektonicznych</t>
        </is>
      </c>
      <c r="D127" s="7" t="inlineStr">
        <is>
          <t>Sekcja</t>
        </is>
      </c>
      <c r="E127" s="3" t="n"/>
      <c r="F127" s="3" t="n"/>
      <c r="G127" s="16" t="n"/>
      <c r="H127" s="28" t="n"/>
    </row>
    <row r="128" ht="15" customHeight="1" s="51">
      <c r="A128" s="3" t="n"/>
      <c r="B128" s="3" t="n"/>
      <c r="C128" s="53" t="inlineStr">
        <is>
          <t>AI bada istniejący kod i wyodrębnia zasady architektoniczne - jak prawidłowo tworzyć: Beana, encje, procedury składowane i exception handling, formularze, tabelki, nazewnictwo, elementy common. Dodatkowe instrukcja uświadamiające AI odnośnie hacków primefaces. Developerzy otrzymują jasne wytyczne zgodne z przyjętymi standardami.</t>
        </is>
      </c>
      <c r="D128" s="3" t="inlineStr">
        <is>
          <t>Opis</t>
        </is>
      </c>
      <c r="E128" s="3" t="n"/>
      <c r="F128" s="3" t="n"/>
      <c r="G128" s="16" t="n"/>
      <c r="H128" s="28" t="n"/>
    </row>
    <row r="129" ht="15" customHeight="1" s="51">
      <c r="A129" s="3" t="n"/>
      <c r="B129" s="3" t="n"/>
      <c r="D129" s="3" t="inlineStr">
        <is>
          <t>Przekazanie knowhow</t>
        </is>
      </c>
      <c r="E129" s="9" t="n"/>
      <c r="F129" s="3" t="inlineStr">
        <is>
          <t>knowhow</t>
        </is>
      </c>
      <c r="G129" s="16" t="n">
        <v>800</v>
      </c>
      <c r="H129" s="28" t="n"/>
    </row>
    <row r="130" ht="15" customHeight="1" s="51">
      <c r="A130" s="3" t="n"/>
      <c r="B130" s="3" t="n"/>
      <c r="D130" s="3" t="inlineStr">
        <is>
          <t>Wykonanie reverse engineering zasad architektonicznych</t>
        </is>
      </c>
      <c r="E130" s="9" t="n"/>
      <c r="F130" s="2" t="inlineStr">
        <is>
          <t>AI SDLC</t>
        </is>
      </c>
      <c r="G130" s="16" t="n">
        <v>1800</v>
      </c>
      <c r="H130" s="28" t="n"/>
    </row>
    <row r="131" ht="15" customHeight="1" s="51">
      <c r="A131" s="3" t="n"/>
      <c r="B131" s="3" t="n"/>
      <c r="D131" s="3" t="inlineStr">
        <is>
          <t>Review prac po stronie</t>
        </is>
      </c>
      <c r="E131" s="9" t="n"/>
      <c r="F131" s="2" t="inlineStr">
        <is>
          <t>AI SDLC</t>
        </is>
      </c>
      <c r="G131" s="16" t="n">
        <v>600</v>
      </c>
      <c r="H131" s="28" t="n"/>
    </row>
    <row r="132" ht="15" customHeight="1" s="51">
      <c r="A132" s="3" t="n"/>
      <c r="B132" s="3" t="n"/>
      <c r="D132" s="3" t="inlineStr">
        <is>
          <t>Suma TL.10</t>
        </is>
      </c>
      <c r="E132" s="9" t="n"/>
      <c r="F132" s="3" t="n"/>
      <c r="G132" s="16" t="n"/>
      <c r="H132" s="28">
        <f>SUM(G129:G131)</f>
        <v/>
      </c>
    </row>
    <row r="133" ht="15" customHeight="1" s="51">
      <c r="A133" s="3" t="n"/>
      <c r="B133" s="3" t="n"/>
      <c r="C133" s="11" t="n"/>
      <c r="D133" s="3" t="n"/>
      <c r="E133" s="3" t="n"/>
      <c r="F133" s="3" t="n"/>
      <c r="G133" s="16" t="n"/>
      <c r="H133" s="28" t="n"/>
    </row>
    <row r="134" ht="32" customHeight="1" s="51">
      <c r="A134" s="7" t="inlineStr">
        <is>
          <t>TL.13</t>
        </is>
      </c>
      <c r="B134" s="7" t="inlineStr">
        <is>
          <t>Development</t>
        </is>
      </c>
      <c r="C134" s="8" t="inlineStr">
        <is>
          <t>TL.13 - AI może robić hot swap kodu / uruchomienie / re deploy + wgląd w logi (tak jak dziś developer)</t>
        </is>
      </c>
      <c r="D134" s="7" t="inlineStr">
        <is>
          <t>Sekcja</t>
        </is>
      </c>
      <c r="E134" s="3" t="n"/>
      <c r="F134" s="3" t="n"/>
      <c r="G134" s="16" t="n"/>
      <c r="H134" s="28" t="n"/>
    </row>
    <row r="135" ht="15" customHeight="1" s="51">
      <c r="A135" s="3" t="n"/>
      <c r="B135" s="3" t="n"/>
      <c r="C135" s="53" t="inlineStr">
        <is>
          <t>AI wykonuje hot swap kodu, uruchomienie i re-deploy oraz ma wgląd w logi - działa jak doświadczony developer. Skraca to czas między implementacją a weryfikacją zmian.</t>
        </is>
      </c>
      <c r="D135" s="3" t="inlineStr">
        <is>
          <t>Opis</t>
        </is>
      </c>
      <c r="E135" s="3" t="n"/>
      <c r="F135" s="3" t="n"/>
      <c r="G135" s="16" t="n"/>
      <c r="H135" s="28" t="n"/>
    </row>
    <row r="136" ht="15" customHeight="1" s="51">
      <c r="A136" s="3" t="n"/>
      <c r="B136" s="3" t="n"/>
      <c r="D136" s="3" t="inlineStr">
        <is>
          <t>Przekazanie knowhow</t>
        </is>
      </c>
      <c r="E136" s="9" t="n"/>
      <c r="F136" s="3" t="inlineStr">
        <is>
          <t>knowhow</t>
        </is>
      </c>
      <c r="G136" s="16" t="n">
        <v>500</v>
      </c>
      <c r="H136" s="28" t="n"/>
    </row>
    <row r="137" ht="15" customHeight="1" s="51">
      <c r="A137" s="3" t="n"/>
      <c r="B137" s="3" t="n"/>
      <c r="D137" s="3" t="inlineStr">
        <is>
          <t>Przygotowanie skilla</t>
        </is>
      </c>
      <c r="E137" s="9" t="n"/>
      <c r="F137" s="2" t="inlineStr">
        <is>
          <t>AI SDLC</t>
        </is>
      </c>
      <c r="G137" s="16" t="n">
        <v>2000</v>
      </c>
      <c r="H137" s="28" t="n"/>
    </row>
    <row r="138" ht="15" customHeight="1" s="51">
      <c r="A138" s="3" t="n"/>
      <c r="B138" s="3" t="n"/>
      <c r="D138" s="3" t="inlineStr">
        <is>
          <t>Review prac po stronie</t>
        </is>
      </c>
      <c r="E138" s="9" t="n"/>
      <c r="F138" s="2" t="inlineStr">
        <is>
          <t>AI SDLC</t>
        </is>
      </c>
      <c r="G138" s="16" t="n">
        <v>375</v>
      </c>
      <c r="H138" s="28" t="n"/>
    </row>
    <row r="139" ht="15" customHeight="1" s="51">
      <c r="A139" s="3" t="n"/>
      <c r="B139" s="3" t="n"/>
      <c r="D139" s="3" t="inlineStr">
        <is>
          <t>Suma TL.13</t>
        </is>
      </c>
      <c r="E139" s="9" t="n"/>
      <c r="F139" s="3" t="n"/>
      <c r="G139" s="16" t="n"/>
      <c r="H139" s="28">
        <f>SUM(G136:G138)</f>
        <v/>
      </c>
    </row>
    <row r="140" ht="15" customHeight="1" s="51">
      <c r="A140" s="3" t="n"/>
      <c r="B140" s="3" t="n"/>
      <c r="C140" s="11" t="n"/>
      <c r="D140" s="3" t="n"/>
      <c r="E140" s="3" t="n"/>
      <c r="F140" s="3" t="n"/>
      <c r="G140" s="16" t="n"/>
      <c r="H140" s="28" t="n"/>
    </row>
    <row r="141" ht="16" customHeight="1" s="51">
      <c r="A141" s="7" t="inlineStr">
        <is>
          <t>TL.14</t>
        </is>
      </c>
      <c r="B141" s="7" t="inlineStr">
        <is>
          <t>Development</t>
        </is>
      </c>
      <c r="C141" s="8" t="inlineStr">
        <is>
          <t>TL.14 - AI może uruchomić pipeline z Jenkins + wgląd w logi</t>
        </is>
      </c>
      <c r="D141" s="7" t="inlineStr">
        <is>
          <t>Sekcja</t>
        </is>
      </c>
      <c r="E141" s="3" t="n"/>
      <c r="F141" s="3" t="n"/>
      <c r="G141" s="16" t="n"/>
      <c r="H141" s="28" t="n"/>
    </row>
    <row r="142" ht="15" customHeight="1" s="51">
      <c r="A142" s="3" t="n"/>
      <c r="B142" s="3" t="n"/>
      <c r="C142" s="53" t="inlineStr">
        <is>
          <t>AI orkiestruje istniejące build/deploy/test przez Jenkins i daje wiarygodny feedback po tym samym flow. Nie budujemy osobnego CI/CD - wykorzystujemy istniejącą infrastrukturę.</t>
        </is>
      </c>
      <c r="D142" s="3" t="inlineStr">
        <is>
          <t>Opis</t>
        </is>
      </c>
      <c r="E142" s="3" t="n"/>
      <c r="F142" s="3" t="n"/>
      <c r="G142" s="16" t="n"/>
      <c r="H142" s="28" t="n"/>
    </row>
    <row r="143" ht="15" customHeight="1" s="51">
      <c r="A143" s="3" t="n"/>
      <c r="B143" s="3" t="n"/>
      <c r="D143" s="3" t="inlineStr">
        <is>
          <t>Przekazanie knowhow</t>
        </is>
      </c>
      <c r="E143" s="9" t="n"/>
      <c r="F143" s="3" t="inlineStr">
        <is>
          <t>knowhow</t>
        </is>
      </c>
      <c r="G143" s="16" t="n">
        <v>0</v>
      </c>
      <c r="H143" s="28" t="n"/>
    </row>
    <row r="144" ht="15" customHeight="1" s="51">
      <c r="A144" s="3" t="n"/>
      <c r="B144" s="3" t="n"/>
      <c r="D144" s="3" t="inlineStr">
        <is>
          <t>Integracja AI z pipeline Jenkins oraz logami</t>
        </is>
      </c>
      <c r="E144" s="9" t="n"/>
      <c r="F144" s="2" t="inlineStr">
        <is>
          <t>AI SDLC</t>
        </is>
      </c>
      <c r="G144" s="16" t="n">
        <v>500</v>
      </c>
      <c r="H144" s="28" t="n"/>
    </row>
    <row r="145" ht="15" customHeight="1" s="51">
      <c r="A145" s="3" t="n"/>
      <c r="B145" s="3" t="n"/>
      <c r="D145" s="3" t="inlineStr">
        <is>
          <t>Review prac po stronie</t>
        </is>
      </c>
      <c r="E145" s="9" t="n"/>
      <c r="F145" s="2" t="inlineStr">
        <is>
          <t>AI SDLC</t>
        </is>
      </c>
      <c r="G145" s="16" t="n">
        <v>375</v>
      </c>
      <c r="H145" s="28" t="n"/>
    </row>
    <row r="146" ht="15" customHeight="1" s="51">
      <c r="A146" s="3" t="n"/>
      <c r="B146" s="3" t="n"/>
      <c r="D146" s="3" t="inlineStr">
        <is>
          <t>Suma TL.14</t>
        </is>
      </c>
      <c r="E146" s="9" t="n"/>
      <c r="F146" s="3" t="n"/>
      <c r="G146" s="16" t="n"/>
      <c r="H146" s="28">
        <f>SUM(G143:G145)</f>
        <v/>
      </c>
    </row>
    <row r="147" ht="15" customHeight="1" s="51">
      <c r="A147" s="3" t="n"/>
      <c r="B147" s="3" t="n"/>
      <c r="C147" s="11" t="n"/>
      <c r="D147" s="3" t="n"/>
      <c r="E147" s="3" t="n"/>
      <c r="F147" s="3" t="n"/>
      <c r="G147" s="16" t="n"/>
      <c r="H147" s="28" t="n"/>
    </row>
    <row r="148" ht="32" customHeight="1" s="51">
      <c r="A148" s="7" t="inlineStr">
        <is>
          <t>TL.31</t>
        </is>
      </c>
      <c r="B148" s="7" t="inlineStr">
        <is>
          <t>Development</t>
        </is>
      </c>
      <c r="C148" s="8" t="inlineStr">
        <is>
          <t>TL.31 - AI lokalny troubleshooting (wgląd w logi, bazę, instrukcje co sprawdzać po kolei)</t>
        </is>
      </c>
      <c r="D148" s="7" t="inlineStr">
        <is>
          <t>Sekcja</t>
        </is>
      </c>
      <c r="E148" s="3" t="n"/>
      <c r="F148" s="3" t="n"/>
      <c r="G148" s="16" t="n"/>
      <c r="H148" s="28" t="n"/>
    </row>
    <row r="149" ht="15" customHeight="1" s="51">
      <c r="A149" s="3" t="n"/>
      <c r="B149" s="3" t="n"/>
      <c r="C149" s="53" t="inlineStr">
        <is>
          <t>Agent samodzielnie diagnozuje problemy - sprawdza logi, bazę danych i wykonuje kolejne kroki diagnostyczne. Developerzy zyskują szybką pomoc bez ręcznego przeszukiwania wielu źródeł.</t>
        </is>
      </c>
      <c r="D149" s="3" t="inlineStr">
        <is>
          <t>Opis</t>
        </is>
      </c>
      <c r="E149" s="3" t="n"/>
      <c r="F149" s="3" t="n"/>
      <c r="G149" s="16" t="n"/>
      <c r="H149" s="28" t="n"/>
    </row>
    <row r="150" ht="15" customHeight="1" s="51">
      <c r="A150" s="3" t="n"/>
      <c r="B150" s="3" t="n"/>
      <c r="D150" s="3" t="inlineStr">
        <is>
          <t>Przekazanie knowhow</t>
        </is>
      </c>
      <c r="E150" s="9" t="n"/>
      <c r="F150" s="3" t="inlineStr">
        <is>
          <t>knowhow</t>
        </is>
      </c>
      <c r="G150" s="16" t="n">
        <v>500</v>
      </c>
      <c r="H150" s="28" t="n"/>
    </row>
    <row r="151" ht="15" customHeight="1" s="51">
      <c r="A151" s="3" t="n"/>
      <c r="B151" s="3" t="n"/>
      <c r="D151" s="3" t="inlineStr">
        <is>
          <t>Przygotowanie lokalnego troubleshootingu AI</t>
        </is>
      </c>
      <c r="E151" s="9" t="n"/>
      <c r="F151" s="2" t="inlineStr">
        <is>
          <t>AI SDLC</t>
        </is>
      </c>
      <c r="G151" s="16" t="n">
        <v>1125</v>
      </c>
      <c r="H151" s="28" t="n"/>
    </row>
    <row r="152" ht="15" customHeight="1" s="51">
      <c r="A152" s="3" t="n"/>
      <c r="B152" s="3" t="n"/>
      <c r="D152" s="3" t="inlineStr">
        <is>
          <t>Review prac po stronie</t>
        </is>
      </c>
      <c r="E152" s="9" t="n"/>
      <c r="F152" s="2" t="inlineStr">
        <is>
          <t>AI SDLC</t>
        </is>
      </c>
      <c r="G152" s="16" t="n">
        <v>375</v>
      </c>
      <c r="H152" s="28" t="n"/>
    </row>
    <row r="153" ht="15" customHeight="1" s="51">
      <c r="A153" s="3" t="n"/>
      <c r="B153" s="3" t="n"/>
      <c r="D153" s="3" t="inlineStr">
        <is>
          <t>Suma TL.31</t>
        </is>
      </c>
      <c r="E153" s="9" t="n"/>
      <c r="F153" s="3" t="n"/>
      <c r="G153" s="16" t="n"/>
      <c r="H153" s="28">
        <f>SUM(G150:G152)</f>
        <v/>
      </c>
    </row>
    <row r="154" ht="15" customHeight="1" s="51">
      <c r="A154" s="3" t="n"/>
      <c r="B154" s="3" t="n"/>
      <c r="C154" s="11" t="n"/>
      <c r="D154" s="3" t="n"/>
      <c r="E154" s="3" t="n"/>
      <c r="F154" s="3" t="n"/>
      <c r="G154" s="16" t="n"/>
      <c r="H154" s="28" t="n"/>
    </row>
    <row r="155" ht="32" customHeight="1" s="51">
      <c r="A155" s="7" t="inlineStr">
        <is>
          <t>TL.32</t>
        </is>
      </c>
      <c r="B155" s="7" t="inlineStr">
        <is>
          <t>Development</t>
        </is>
      </c>
      <c r="C155" s="8" t="inlineStr">
        <is>
          <t>TL.32 - Tool dla AI do interakcji z remote beans (wywoływanie requestów przez agenta na środowisku dev dla smoke test / troubleshooting)</t>
        </is>
      </c>
      <c r="D155" s="7" t="inlineStr">
        <is>
          <t>Sekcja</t>
        </is>
      </c>
      <c r="E155" s="3" t="n"/>
      <c r="F155" s="3" t="n"/>
      <c r="G155" s="16" t="n"/>
      <c r="H155" s="28" t="n"/>
    </row>
    <row r="156" ht="15" customHeight="1" s="51">
      <c r="A156" s="3" t="n"/>
      <c r="B156" s="3" t="n"/>
      <c r="C156" s="53" t="inlineStr">
        <is>
          <t>AI może wywoływać requesty do remote beans na środowisku dev, wykonując smoke testy i troubleshooting bezpośrednio z poziomu agenta.</t>
        </is>
      </c>
      <c r="D156" s="3" t="inlineStr">
        <is>
          <t>Opis</t>
        </is>
      </c>
      <c r="E156" s="3" t="n"/>
      <c r="F156" s="3" t="n"/>
      <c r="G156" s="16" t="n"/>
      <c r="H156" s="28" t="n"/>
    </row>
    <row r="157" ht="15" customHeight="1" s="51">
      <c r="A157" s="3" t="n"/>
      <c r="B157" s="3" t="n"/>
      <c r="D157" s="3" t="inlineStr">
        <is>
          <t>Przekazanie knowhow</t>
        </is>
      </c>
      <c r="E157" s="9" t="n"/>
      <c r="F157" s="3" t="inlineStr">
        <is>
          <t>knowhow</t>
        </is>
      </c>
      <c r="G157" s="16" t="n">
        <v>500</v>
      </c>
      <c r="H157" s="28" t="n"/>
    </row>
    <row r="158" ht="15" customHeight="1" s="51">
      <c r="A158" s="3" t="n"/>
      <c r="B158" s="3" t="n"/>
      <c r="D158" s="3" t="inlineStr">
        <is>
          <t>Dostosowanie  narzędzia AI do interakcji z remote beans</t>
        </is>
      </c>
      <c r="E158" s="9" t="n"/>
      <c r="F158" s="2" t="inlineStr">
        <is>
          <t>AI SDLC</t>
        </is>
      </c>
      <c r="G158" s="16" t="n">
        <v>1000</v>
      </c>
      <c r="H158" s="28" t="n"/>
    </row>
    <row r="159" ht="15" customHeight="1" s="51">
      <c r="A159" s="3" t="n"/>
      <c r="B159" s="3" t="n"/>
      <c r="D159" s="3" t="inlineStr">
        <is>
          <t>Review prac po stronie</t>
        </is>
      </c>
      <c r="E159" s="9" t="n"/>
      <c r="F159" s="2" t="inlineStr">
        <is>
          <t>AI SDLC</t>
        </is>
      </c>
      <c r="G159" s="16" t="n">
        <v>375</v>
      </c>
      <c r="H159" s="28" t="n"/>
    </row>
    <row r="160" ht="15" customHeight="1" s="51">
      <c r="A160" s="3" t="n"/>
      <c r="B160" s="3" t="n"/>
      <c r="D160" s="3" t="inlineStr">
        <is>
          <t>Suma TL.32</t>
        </is>
      </c>
      <c r="E160" s="9" t="n"/>
      <c r="F160" s="3" t="n"/>
      <c r="G160" s="16" t="n"/>
      <c r="H160" s="28">
        <f>SUM(G157:G159)</f>
        <v/>
      </c>
    </row>
    <row r="161" ht="15" customHeight="1" s="51">
      <c r="A161" s="3" t="n"/>
      <c r="B161" s="3" t="n"/>
      <c r="C161" s="11" t="n"/>
      <c r="D161" s="3" t="n"/>
      <c r="E161" s="3" t="n"/>
      <c r="F161" s="3" t="n"/>
      <c r="G161" s="16" t="n"/>
      <c r="H161" s="28" t="n"/>
    </row>
    <row r="162" ht="32" customHeight="1" s="51">
      <c r="A162" s="7" t="inlineStr">
        <is>
          <t>TL.11</t>
        </is>
      </c>
      <c r="B162" s="7" t="inlineStr">
        <is>
          <t>Review kodu</t>
        </is>
      </c>
      <c r="C162" s="8" t="inlineStr">
        <is>
          <t>TL.11 - Instrukcje oceniające zmiany / Review zbiorcze w pipeline (wszystkie skile "AI Review ..." + narzędzia deterministyczne + publikacja do review tool)</t>
        </is>
      </c>
      <c r="D162" s="7" t="inlineStr">
        <is>
          <t>Sekcja</t>
        </is>
      </c>
      <c r="E162" s="3" t="n"/>
      <c r="F162" s="3" t="n"/>
      <c r="G162" s="16" t="n"/>
      <c r="H162" s="28" t="n"/>
    </row>
    <row r="163" ht="15" customHeight="1" s="51">
      <c r="A163" s="3" t="n"/>
      <c r="B163" s="3" t="n"/>
      <c r="C163" s="53" t="inlineStr">
        <is>
          <t>AI ocenia zmiany pod szeregiem kryteriów (szczegóły w następnych punktach) i wystawia komentarze review.</t>
        </is>
      </c>
      <c r="D163" s="3" t="inlineStr">
        <is>
          <t>Opis</t>
        </is>
      </c>
      <c r="E163" s="3" t="n"/>
      <c r="F163" s="3" t="n"/>
      <c r="G163" s="16" t="n"/>
      <c r="H163" s="28" t="n"/>
    </row>
    <row r="164" ht="15" customHeight="1" s="51">
      <c r="A164" s="3" t="n"/>
      <c r="B164" s="3" t="n"/>
      <c r="D164" s="3" t="inlineStr">
        <is>
          <t>Przekazanie knowhow</t>
        </is>
      </c>
      <c r="E164" s="9" t="n"/>
      <c r="F164" s="3" t="inlineStr">
        <is>
          <t>knowhow</t>
        </is>
      </c>
      <c r="G164" s="16" t="n">
        <v>500</v>
      </c>
      <c r="H164" s="28" t="n"/>
    </row>
    <row r="165" ht="15" customHeight="1" s="51">
      <c r="A165" s="3" t="n"/>
      <c r="B165" s="3" t="n"/>
      <c r="D165" s="3" t="inlineStr">
        <is>
          <t>Dostosowanie  instrukcji do zbiorczego review zmian w pipeline</t>
        </is>
      </c>
      <c r="E165" s="9" t="n"/>
      <c r="F165" s="2" t="inlineStr">
        <is>
          <t>AI SDLC</t>
        </is>
      </c>
      <c r="G165" s="16" t="n">
        <v>1000</v>
      </c>
      <c r="H165" s="28" t="n"/>
    </row>
    <row r="166" ht="15" customHeight="1" s="51">
      <c r="A166" s="3" t="n"/>
      <c r="B166" s="3" t="n"/>
      <c r="D166" s="3" t="inlineStr">
        <is>
          <t>Review prac po stronie</t>
        </is>
      </c>
      <c r="E166" s="9" t="n"/>
      <c r="F166" s="2" t="inlineStr">
        <is>
          <t>AI SDLC</t>
        </is>
      </c>
      <c r="G166" s="16" t="n">
        <v>375</v>
      </c>
      <c r="H166" s="28" t="n"/>
    </row>
    <row r="167" ht="15" customHeight="1" s="51">
      <c r="A167" s="3" t="n"/>
      <c r="B167" s="3" t="n"/>
      <c r="D167" s="3" t="inlineStr">
        <is>
          <t>Suma TL.11</t>
        </is>
      </c>
      <c r="E167" s="9" t="n"/>
      <c r="F167" s="3" t="n"/>
      <c r="G167" s="16" t="n"/>
      <c r="H167" s="28">
        <f>SUM(G164:G166)</f>
        <v/>
      </c>
    </row>
    <row r="168" ht="15" customHeight="1" s="51">
      <c r="A168" s="3" t="n"/>
      <c r="B168" s="3" t="n"/>
      <c r="C168" s="11" t="n"/>
      <c r="D168" s="3" t="n"/>
      <c r="E168" s="3" t="n"/>
      <c r="F168" s="3" t="n"/>
      <c r="G168" s="16" t="n"/>
      <c r="H168" s="28" t="n"/>
    </row>
    <row r="169" ht="16" customHeight="1" s="51">
      <c r="A169" s="7" t="inlineStr">
        <is>
          <t>TL.15</t>
        </is>
      </c>
      <c r="B169" s="7" t="inlineStr">
        <is>
          <t>Review kodu</t>
        </is>
      </c>
      <c r="C169" s="8" t="inlineStr">
        <is>
          <t>TL.15 - AI Review potential bugs (przyrostowe sprawdzenie w nowym kodzie)</t>
        </is>
      </c>
      <c r="D169" s="7" t="inlineStr">
        <is>
          <t>Sekcja</t>
        </is>
      </c>
      <c r="E169" s="3" t="n"/>
      <c r="F169" s="3" t="n"/>
      <c r="G169" s="16" t="n"/>
      <c r="H169" s="28" t="n"/>
    </row>
    <row r="170" ht="15" customHeight="1" s="51">
      <c r="A170" s="3" t="n"/>
      <c r="B170" s="3" t="n"/>
      <c r="C170" s="53" t="inlineStr">
        <is>
          <t>Przyrostowe sprawdzenie nowego kodu pod kątem potencjalnych bugów. AI wykrywa miejsca ryzyka zanim kod trafi do review innych developerów. Do wywołania lokalnie przez developera i w ramach CI w zbiorczym review.</t>
        </is>
      </c>
      <c r="D170" s="3" t="inlineStr">
        <is>
          <t>Opis</t>
        </is>
      </c>
      <c r="E170" s="3" t="n"/>
      <c r="F170" s="3" t="n"/>
      <c r="G170" s="16" t="n"/>
      <c r="H170" s="28" t="n"/>
    </row>
    <row r="171" ht="15" customHeight="1" s="51">
      <c r="A171" s="3" t="n"/>
      <c r="B171" s="3" t="n"/>
      <c r="D171" s="3" t="inlineStr">
        <is>
          <t>Przekazanie knowhow</t>
        </is>
      </c>
      <c r="E171" s="9" t="n"/>
      <c r="F171" s="3" t="inlineStr">
        <is>
          <t>knowhow</t>
        </is>
      </c>
      <c r="G171" s="16" t="n">
        <v>400</v>
      </c>
      <c r="H171" s="28" t="n"/>
    </row>
    <row r="172" ht="15" customHeight="1" s="51">
      <c r="A172" s="3" t="n"/>
      <c r="B172" s="3" t="n"/>
      <c r="D172" s="3" t="inlineStr">
        <is>
          <t>Przygotowanie AI review potential bugs</t>
        </is>
      </c>
      <c r="E172" s="9" t="n"/>
      <c r="F172" s="2" t="inlineStr">
        <is>
          <t>AI SDLC</t>
        </is>
      </c>
      <c r="G172" s="16" t="n">
        <v>0</v>
      </c>
      <c r="H172" s="28" t="n"/>
    </row>
    <row r="173" ht="15" customHeight="1" s="51">
      <c r="A173" s="3" t="n"/>
      <c r="B173" s="3" t="n"/>
      <c r="D173" s="3" t="inlineStr">
        <is>
          <t>Review prac po stronie</t>
        </is>
      </c>
      <c r="E173" s="9" t="n"/>
      <c r="F173" s="2" t="inlineStr">
        <is>
          <t>AI SDLC</t>
        </is>
      </c>
      <c r="G173" s="16" t="n">
        <v>300</v>
      </c>
      <c r="H173" s="28" t="n"/>
    </row>
    <row r="174" ht="15" customHeight="1" s="51">
      <c r="A174" s="3" t="n"/>
      <c r="B174" s="3" t="n"/>
      <c r="D174" s="3" t="inlineStr">
        <is>
          <t>Suma TL.15</t>
        </is>
      </c>
      <c r="E174" s="9" t="n"/>
      <c r="F174" s="3" t="n"/>
      <c r="G174" s="16" t="n"/>
      <c r="H174" s="28">
        <f>SUM(G171:G173)</f>
        <v/>
      </c>
    </row>
    <row r="175" ht="15" customHeight="1" s="51">
      <c r="A175" s="3" t="n"/>
      <c r="B175" s="3" t="n"/>
      <c r="C175" s="11" t="n"/>
      <c r="D175" s="3" t="n"/>
      <c r="E175" s="3" t="n"/>
      <c r="F175" s="3" t="n"/>
      <c r="G175" s="16" t="n"/>
      <c r="H175" s="28" t="n"/>
    </row>
    <row r="176" ht="16" customHeight="1" s="51">
      <c r="A176" s="7" t="inlineStr">
        <is>
          <t>TL.16</t>
        </is>
      </c>
      <c r="B176" s="7" t="inlineStr">
        <is>
          <t>Review kodu</t>
        </is>
      </c>
      <c r="C176" s="8" t="inlineStr">
        <is>
          <t>TL.16 - AI Review architektury (przyrostowe sprawdzenie w nowym kodzie)</t>
        </is>
      </c>
      <c r="D176" s="7" t="inlineStr">
        <is>
          <t>Sekcja</t>
        </is>
      </c>
      <c r="E176" s="3" t="n"/>
      <c r="F176" s="3" t="n"/>
      <c r="G176" s="16" t="n"/>
      <c r="H176" s="28" t="n"/>
    </row>
    <row r="177" ht="15" customHeight="1" s="51">
      <c r="A177" s="3" t="n"/>
      <c r="B177" s="3" t="n"/>
      <c r="C177" s="53" t="inlineStr">
        <is>
          <t>Przyrostowe sprawdzenie architektury w nowym kodzie. AI weryfikuje, czy zmiany są zgodne z przyjętymi wzorcami i zasadami projektowymi. Do wywołania lokalnie przez developera i w ramach CI w zbiorczym review.</t>
        </is>
      </c>
      <c r="D177" s="3" t="inlineStr">
        <is>
          <t>Opis</t>
        </is>
      </c>
      <c r="E177" s="3" t="n"/>
      <c r="F177" s="3" t="n"/>
      <c r="G177" s="16" t="n"/>
      <c r="H177" s="28" t="n"/>
    </row>
    <row r="178" ht="15" customHeight="1" s="51">
      <c r="A178" s="3" t="n"/>
      <c r="B178" s="3" t="n"/>
      <c r="D178" s="3" t="inlineStr">
        <is>
          <t>Przekazanie knowhow</t>
        </is>
      </c>
      <c r="E178" s="9" t="n"/>
      <c r="F178" s="3" t="inlineStr">
        <is>
          <t>knowhow</t>
        </is>
      </c>
      <c r="G178" s="16" t="n">
        <v>500</v>
      </c>
      <c r="H178" s="28" t="n"/>
    </row>
    <row r="179" ht="15" customHeight="1" s="51">
      <c r="A179" s="3" t="n"/>
      <c r="B179" s="3" t="n"/>
      <c r="D179" s="3" t="inlineStr">
        <is>
          <t>Dostosowanie do architektury</t>
        </is>
      </c>
      <c r="E179" s="9" t="n"/>
      <c r="F179" s="2" t="inlineStr">
        <is>
          <t>AI SDLC</t>
        </is>
      </c>
      <c r="G179" s="16" t="n">
        <v>1250</v>
      </c>
      <c r="H179" s="28" t="n"/>
    </row>
    <row r="180" ht="15" customHeight="1" s="51">
      <c r="A180" s="3" t="n"/>
      <c r="B180" s="3" t="n"/>
      <c r="D180" s="3" t="inlineStr">
        <is>
          <t>Review prac po stronie</t>
        </is>
      </c>
      <c r="E180" s="9" t="n"/>
      <c r="F180" s="2" t="inlineStr">
        <is>
          <t>AI SDLC</t>
        </is>
      </c>
      <c r="G180" s="16" t="n">
        <v>300</v>
      </c>
      <c r="H180" s="28" t="n"/>
    </row>
    <row r="181" ht="15" customHeight="1" s="51">
      <c r="A181" s="3" t="n"/>
      <c r="B181" s="3" t="n"/>
      <c r="D181" s="3" t="inlineStr">
        <is>
          <t>Suma TL.16</t>
        </is>
      </c>
      <c r="E181" s="9" t="n"/>
      <c r="F181" s="3" t="n"/>
      <c r="G181" s="16" t="n"/>
      <c r="H181" s="28">
        <f>SUM(G178:G180)</f>
        <v/>
      </c>
    </row>
    <row r="182" ht="15" customHeight="1" s="51">
      <c r="A182" s="3" t="n"/>
      <c r="B182" s="3" t="n"/>
      <c r="C182" s="11" t="n"/>
      <c r="D182" s="3" t="n"/>
      <c r="E182" s="3" t="n"/>
      <c r="F182" s="3" t="n"/>
      <c r="G182" s="16" t="n"/>
      <c r="H182" s="28" t="n"/>
    </row>
    <row r="183" ht="16" customHeight="1" s="51">
      <c r="A183" s="7" t="inlineStr">
        <is>
          <t>TL.17</t>
        </is>
      </c>
      <c r="B183" s="7" t="inlineStr">
        <is>
          <t>Review kodu</t>
        </is>
      </c>
      <c r="C183" s="8" t="inlineStr">
        <is>
          <t>TL.17 - AI Review complexity check (przyrostowe sprawdzenie w nowym kodzie)</t>
        </is>
      </c>
      <c r="D183" s="7" t="inlineStr">
        <is>
          <t>Sekcja</t>
        </is>
      </c>
      <c r="E183" s="3" t="n"/>
      <c r="F183" s="3" t="n"/>
      <c r="G183" s="16" t="n"/>
      <c r="H183" s="28" t="n"/>
    </row>
    <row r="184" ht="15" customHeight="1" s="51">
      <c r="A184" s="3" t="n"/>
      <c r="B184" s="3" t="n"/>
      <c r="C184" s="53" t="inlineStr">
        <is>
          <t>Przyrostowe sprawdzenie złożoności nowego kodu. AI sygnalizuje miejsca, które wymagają refaktoryzacji ze względu na nadmierną skomplikowanie. Do wywołania lokalnie przez developera i w ramach CI w zbiorczym review.</t>
        </is>
      </c>
      <c r="D184" s="3" t="inlineStr">
        <is>
          <t>Opis</t>
        </is>
      </c>
      <c r="E184" s="3" t="n"/>
      <c r="F184" s="3" t="n"/>
      <c r="G184" s="16" t="n"/>
      <c r="H184" s="28" t="n"/>
    </row>
    <row r="185" ht="15" customHeight="1" s="51">
      <c r="A185" s="3" t="n"/>
      <c r="B185" s="3" t="n"/>
      <c r="D185" s="3" t="inlineStr">
        <is>
          <t>Przekazanie knowhow</t>
        </is>
      </c>
      <c r="E185" s="9" t="n"/>
      <c r="F185" s="3" t="inlineStr">
        <is>
          <t>knowhow</t>
        </is>
      </c>
      <c r="G185" s="16" t="n">
        <v>300</v>
      </c>
      <c r="H185" s="28" t="n"/>
    </row>
    <row r="186" ht="15" customHeight="1" s="51">
      <c r="A186" s="3" t="n"/>
      <c r="B186" s="3" t="n"/>
      <c r="D186" s="3" t="inlineStr">
        <is>
          <t>Dostosowanie complexity check do architektury</t>
        </is>
      </c>
      <c r="E186" s="9" t="n"/>
      <c r="F186" s="2" t="inlineStr">
        <is>
          <t>AI SDLC</t>
        </is>
      </c>
      <c r="G186" s="16" t="n">
        <v>300</v>
      </c>
      <c r="H186" s="28" t="n"/>
    </row>
    <row r="187" ht="15" customHeight="1" s="51">
      <c r="A187" s="3" t="n"/>
      <c r="B187" s="3" t="n"/>
      <c r="D187" s="3" t="inlineStr">
        <is>
          <t>Review prac po stronie</t>
        </is>
      </c>
      <c r="E187" s="9" t="n"/>
      <c r="F187" s="2" t="inlineStr">
        <is>
          <t>AI SDLC</t>
        </is>
      </c>
      <c r="G187" s="16" t="n">
        <v>225</v>
      </c>
      <c r="H187" s="28" t="n"/>
    </row>
    <row r="188" ht="15" customHeight="1" s="51">
      <c r="A188" s="3" t="n"/>
      <c r="B188" s="3" t="n"/>
      <c r="D188" s="3" t="inlineStr">
        <is>
          <t>Suma TL.17</t>
        </is>
      </c>
      <c r="E188" s="9" t="n"/>
      <c r="F188" s="3" t="n"/>
      <c r="G188" s="16" t="n"/>
      <c r="H188" s="28">
        <f>SUM(G185:G187)</f>
        <v/>
      </c>
    </row>
    <row r="189" ht="15" customHeight="1" s="51">
      <c r="A189" s="3" t="n"/>
      <c r="B189" s="3" t="n"/>
      <c r="C189" s="11" t="n"/>
      <c r="D189" s="3" t="n"/>
      <c r="E189" s="3" t="n"/>
      <c r="F189" s="3" t="n"/>
      <c r="G189" s="16" t="n"/>
      <c r="H189" s="28" t="n"/>
    </row>
    <row r="190" ht="16" customHeight="1" s="51">
      <c r="A190" s="7" t="inlineStr">
        <is>
          <t>TL.18</t>
        </is>
      </c>
      <c r="B190" s="7" t="inlineStr">
        <is>
          <t>Review kodu</t>
        </is>
      </c>
      <c r="C190" s="8" t="inlineStr">
        <is>
          <t>TL.18 - AI Review implementacja vs specyfikacja</t>
        </is>
      </c>
      <c r="D190" s="7" t="inlineStr">
        <is>
          <t>Sekcja</t>
        </is>
      </c>
      <c r="E190" s="3" t="n"/>
      <c r="F190" s="3" t="n"/>
      <c r="G190" s="16" t="n"/>
      <c r="H190" s="28" t="n"/>
    </row>
    <row r="191" ht="15" customHeight="1" s="51">
      <c r="A191" s="3" t="n"/>
      <c r="B191" s="3" t="n"/>
      <c r="C191" s="53" t="inlineStr">
        <is>
          <t>AI porównuje implementację ze specyfikacją i wskazuje rozbieżności. Analitycy i developerzy zyskują pewność, że realizacja odpowiada zamówieniu. Do wywołania lokalnie przez developera i w ramach CI w zbiorczym review.</t>
        </is>
      </c>
      <c r="D191" s="3" t="inlineStr">
        <is>
          <t>Opis</t>
        </is>
      </c>
      <c r="E191" s="3" t="n"/>
      <c r="F191" s="3" t="n"/>
      <c r="G191" s="16" t="n"/>
      <c r="H191" s="28" t="n"/>
    </row>
    <row r="192" ht="15" customHeight="1" s="51">
      <c r="A192" s="3" t="n"/>
      <c r="B192" s="3" t="n"/>
      <c r="D192" s="3" t="inlineStr">
        <is>
          <t>Przekazanie knowhow</t>
        </is>
      </c>
      <c r="E192" s="9" t="n"/>
      <c r="F192" s="3" t="inlineStr">
        <is>
          <t>knowhow</t>
        </is>
      </c>
      <c r="G192" s="16" t="n">
        <v>400</v>
      </c>
      <c r="H192" s="28" t="n"/>
    </row>
    <row r="193" ht="15" customHeight="1" s="51">
      <c r="A193" s="3" t="n"/>
      <c r="B193" s="3" t="n"/>
      <c r="D193" s="3" t="inlineStr">
        <is>
          <t>Dostosowanie AI review implementacji względem specyfikacji</t>
        </is>
      </c>
      <c r="E193" s="9" t="n"/>
      <c r="F193" s="2" t="inlineStr">
        <is>
          <t>AI SDLC</t>
        </is>
      </c>
      <c r="G193" s="16" t="n">
        <v>400</v>
      </c>
      <c r="H193" s="28" t="n"/>
    </row>
    <row r="194" ht="15" customHeight="1" s="51">
      <c r="A194" s="3" t="n"/>
      <c r="B194" s="3" t="n"/>
      <c r="D194" s="3" t="inlineStr">
        <is>
          <t>Review prac po stronie</t>
        </is>
      </c>
      <c r="E194" s="9" t="n"/>
      <c r="F194" s="2" t="inlineStr">
        <is>
          <t>AI SDLC</t>
        </is>
      </c>
      <c r="G194" s="16" t="n">
        <v>300</v>
      </c>
      <c r="H194" s="28" t="n"/>
    </row>
    <row r="195" ht="15" customHeight="1" s="51">
      <c r="A195" s="3" t="n"/>
      <c r="B195" s="3" t="n"/>
      <c r="D195" s="3" t="inlineStr">
        <is>
          <t>Suma TL.18</t>
        </is>
      </c>
      <c r="E195" s="9" t="n"/>
      <c r="F195" s="3" t="n"/>
      <c r="G195" s="16" t="n"/>
      <c r="H195" s="28">
        <f>SUM(G192:G194)</f>
        <v/>
      </c>
    </row>
    <row r="196" ht="15" customHeight="1" s="51">
      <c r="A196" s="3" t="n"/>
      <c r="B196" s="3" t="n"/>
      <c r="C196" s="11" t="n"/>
      <c r="D196" s="3" t="n"/>
      <c r="E196" s="3" t="n"/>
      <c r="F196" s="3" t="n"/>
      <c r="G196" s="16" t="n"/>
      <c r="H196" s="28" t="n"/>
    </row>
    <row r="197" ht="16" customHeight="1" s="51">
      <c r="A197" s="7" t="inlineStr">
        <is>
          <t>TL.21</t>
        </is>
      </c>
      <c r="B197" s="7" t="inlineStr">
        <is>
          <t>Review kodu</t>
        </is>
      </c>
      <c r="C197" s="8" t="inlineStr">
        <is>
          <t>TL.21 - AI Review security (blackbox - SAST)</t>
        </is>
      </c>
      <c r="D197" s="7" t="inlineStr">
        <is>
          <t>Sekcja</t>
        </is>
      </c>
      <c r="E197" s="3" t="n"/>
      <c r="F197" s="3" t="n"/>
      <c r="G197" s="16" t="n"/>
      <c r="H197" s="28" t="n"/>
    </row>
    <row r="198" ht="15" customHeight="1" s="51">
      <c r="A198" s="3" t="n"/>
      <c r="B198" s="3" t="n"/>
      <c r="C198" s="53" t="inlineStr">
        <is>
          <t>Automatyczne sprawdzenie bezpieczeństwa kodu metodą blackbox (SAST). Do wywołania lokalnie przez developera i w ramach CI w zbiorczym review.</t>
        </is>
      </c>
      <c r="D198" s="3" t="inlineStr">
        <is>
          <t>Opis</t>
        </is>
      </c>
      <c r="E198" s="3" t="n"/>
      <c r="F198" s="3" t="n"/>
      <c r="G198" s="16" t="n"/>
      <c r="H198" s="28" t="n"/>
    </row>
    <row r="199" ht="15" customHeight="1" s="51">
      <c r="A199" s="3" t="n"/>
      <c r="B199" s="3" t="n"/>
      <c r="D199" s="3" t="inlineStr">
        <is>
          <t>Przekazanie knowhow</t>
        </is>
      </c>
      <c r="E199" s="9" t="n"/>
      <c r="F199" s="3" t="inlineStr">
        <is>
          <t>knowhow</t>
        </is>
      </c>
      <c r="G199" s="16" t="n">
        <v>1250</v>
      </c>
      <c r="H199" s="28" t="n"/>
    </row>
    <row r="200" ht="15" customHeight="1" s="51">
      <c r="A200" s="3" t="n"/>
      <c r="B200" s="3" t="n"/>
      <c r="D200" s="13" t="inlineStr">
        <is>
          <t>Dostosowanie reguł</t>
        </is>
      </c>
      <c r="E200" s="9" t="n"/>
      <c r="F200" s="2" t="inlineStr">
        <is>
          <t>AI SDLC</t>
        </is>
      </c>
      <c r="G200" s="16" t="n">
        <v>1500</v>
      </c>
      <c r="H200" s="28" t="n"/>
    </row>
    <row r="201" ht="15" customHeight="1" s="51">
      <c r="A201" s="3" t="n"/>
      <c r="B201" s="3" t="n"/>
      <c r="D201" s="3" t="inlineStr">
        <is>
          <t>Review prac po stronie</t>
        </is>
      </c>
      <c r="E201" s="9" t="n"/>
      <c r="F201" s="2" t="inlineStr">
        <is>
          <t>AI SDLC</t>
        </is>
      </c>
      <c r="G201" s="16" t="n">
        <v>300</v>
      </c>
      <c r="H201" s="28" t="n"/>
    </row>
    <row r="202" ht="15" customHeight="1" s="51">
      <c r="A202" s="3" t="n"/>
      <c r="B202" s="3" t="n"/>
      <c r="D202" s="3" t="inlineStr">
        <is>
          <t>Suma TL.21</t>
        </is>
      </c>
      <c r="E202" s="9" t="n"/>
      <c r="F202" s="3" t="n"/>
      <c r="G202" s="16" t="n"/>
      <c r="H202" s="28">
        <f>SUM(G199:G201)</f>
        <v/>
      </c>
    </row>
    <row r="203" ht="15" customHeight="1" s="51">
      <c r="A203" s="3" t="n"/>
      <c r="B203" s="3" t="n"/>
      <c r="C203" s="11" t="n"/>
      <c r="D203" s="3" t="n"/>
      <c r="E203" s="3" t="n"/>
      <c r="F203" s="3" t="n"/>
      <c r="G203" s="16" t="n"/>
      <c r="H203" s="28" t="n"/>
    </row>
    <row r="204" ht="16" customHeight="1" s="51">
      <c r="A204" s="7" t="inlineStr">
        <is>
          <t>TL.22</t>
        </is>
      </c>
      <c r="B204" s="7" t="inlineStr">
        <is>
          <t>Review kodu</t>
        </is>
      </c>
      <c r="C204" s="8" t="inlineStr">
        <is>
          <t>TL.22 - Integracja z review tool (ex. BitBucket)</t>
        </is>
      </c>
      <c r="D204" s="7" t="inlineStr">
        <is>
          <t>Sekcja</t>
        </is>
      </c>
      <c r="E204" s="3" t="n"/>
      <c r="F204" s="3" t="n"/>
      <c r="G204" s="16" t="n"/>
      <c r="H204" s="28" t="n"/>
    </row>
    <row r="205" ht="15" customHeight="1" s="51">
      <c r="A205" s="3" t="n"/>
      <c r="B205" s="3" t="n"/>
      <c r="C205" s="53" t="inlineStr">
        <is>
          <t>AI integruje się z istniejącymi narzędziami review (BitBucket), automatyzując proces przeglądu kodu i raportując wyniki bezpośrednio w używanym narzędzi.</t>
        </is>
      </c>
      <c r="D205" s="3" t="inlineStr">
        <is>
          <t>Opis</t>
        </is>
      </c>
      <c r="E205" s="3" t="n"/>
      <c r="F205" s="3" t="n"/>
      <c r="G205" s="16" t="n"/>
      <c r="H205" s="28" t="n"/>
    </row>
    <row r="206" ht="15" customHeight="1" s="51">
      <c r="A206" s="3" t="n"/>
      <c r="B206" s="3" t="n"/>
      <c r="D206" s="3" t="inlineStr">
        <is>
          <t>Przekazanie knowhow</t>
        </is>
      </c>
      <c r="E206" s="9" t="n"/>
      <c r="F206" s="3" t="inlineStr">
        <is>
          <t>knowhow</t>
        </is>
      </c>
      <c r="G206" s="16" t="n">
        <v>400</v>
      </c>
      <c r="H206" s="28" t="n"/>
    </row>
    <row r="207" ht="15" customHeight="1" s="51">
      <c r="A207" s="3" t="n"/>
      <c r="B207" s="3" t="n"/>
      <c r="D207" s="3" t="inlineStr">
        <is>
          <t>Integracja z narzędziem review</t>
        </is>
      </c>
      <c r="E207" s="9" t="n"/>
      <c r="F207" s="2" t="inlineStr">
        <is>
          <t>AI SDLC</t>
        </is>
      </c>
      <c r="G207" s="16" t="n">
        <v>1250</v>
      </c>
      <c r="H207" s="28" t="n"/>
    </row>
    <row r="208" ht="15" customHeight="1" s="51">
      <c r="A208" s="3" t="n"/>
      <c r="B208" s="3" t="n"/>
      <c r="D208" s="3" t="inlineStr">
        <is>
          <t>Review prac po stronie</t>
        </is>
      </c>
      <c r="E208" s="9" t="n"/>
      <c r="F208" s="2" t="inlineStr">
        <is>
          <t>AI SDLC</t>
        </is>
      </c>
      <c r="G208" s="16" t="n">
        <v>300</v>
      </c>
      <c r="H208" s="28" t="n"/>
    </row>
    <row r="209" ht="15" customHeight="1" s="51">
      <c r="A209" s="3" t="n"/>
      <c r="B209" s="3" t="n"/>
      <c r="D209" s="3" t="inlineStr">
        <is>
          <t>Suma TL.22</t>
        </is>
      </c>
      <c r="E209" s="9" t="n"/>
      <c r="F209" s="3" t="n"/>
      <c r="G209" s="16" t="n"/>
      <c r="H209" s="28">
        <f>SUM(G206:G208)</f>
        <v/>
      </c>
    </row>
    <row r="210" ht="15" customHeight="1" s="51">
      <c r="A210" s="3" t="n"/>
      <c r="B210" s="3" t="n"/>
      <c r="C210" s="11" t="n"/>
      <c r="D210" s="3" t="n"/>
      <c r="E210" s="3" t="n"/>
      <c r="F210" s="3" t="n"/>
      <c r="G210" s="16" t="n"/>
      <c r="H210" s="28" t="n"/>
    </row>
    <row r="211" ht="32" customHeight="1" s="51">
      <c r="A211" s="7" t="inlineStr">
        <is>
          <t>TL.28</t>
        </is>
      </c>
      <c r="B211" s="7" t="inlineStr">
        <is>
          <t>Review kodu</t>
        </is>
      </c>
      <c r="C211" s="8" t="inlineStr">
        <is>
          <t>TL.28 - Instrukcje AI do Dokumentowania zmian w wersji po implementacji (na bazie analizy i kodu) (release notes na potrzeby AI)</t>
        </is>
      </c>
      <c r="D211" s="7" t="inlineStr">
        <is>
          <t>Sekcja</t>
        </is>
      </c>
      <c r="E211" s="3" t="n"/>
      <c r="F211" s="3" t="n"/>
      <c r="G211" s="16" t="n"/>
      <c r="H211" s="28" t="n"/>
    </row>
    <row r="212" ht="15" customHeight="1" s="51">
      <c r="A212" s="3" t="n"/>
      <c r="B212" s="3" t="n"/>
      <c r="C212" s="53" t="inlineStr">
        <is>
          <t>Po implementacji AI automatycznie generuje release notes na podstawie analizy i kodu.</t>
        </is>
      </c>
      <c r="D212" s="3" t="inlineStr">
        <is>
          <t>Opis</t>
        </is>
      </c>
      <c r="E212" s="3" t="n"/>
      <c r="F212" s="3" t="n"/>
      <c r="G212" s="16" t="n"/>
      <c r="H212" s="28" t="n"/>
    </row>
    <row r="213" ht="15" customHeight="1" s="51">
      <c r="A213" s="3" t="n"/>
      <c r="B213" s="3" t="n"/>
      <c r="D213" s="3" t="inlineStr">
        <is>
          <t>Przekazanie knowhow</t>
        </is>
      </c>
      <c r="E213" s="9" t="n"/>
      <c r="F213" s="3" t="inlineStr">
        <is>
          <t>knowhow</t>
        </is>
      </c>
      <c r="G213" s="16" t="n">
        <v>400</v>
      </c>
      <c r="H213" s="28" t="n"/>
    </row>
    <row r="214" ht="15" customHeight="1" s="51">
      <c r="A214" s="3" t="n"/>
      <c r="B214" s="3" t="n"/>
      <c r="D214" s="3" t="inlineStr">
        <is>
          <t>Dostosowanie  instrukcji AI do dokumentowania zmian po implementacji</t>
        </is>
      </c>
      <c r="E214" s="9" t="n"/>
      <c r="F214" s="2" t="inlineStr">
        <is>
          <t>AI SDLC</t>
        </is>
      </c>
      <c r="G214" s="16" t="n">
        <v>750</v>
      </c>
      <c r="H214" s="28" t="n"/>
    </row>
    <row r="215" ht="15" customHeight="1" s="51">
      <c r="A215" s="3" t="n"/>
      <c r="B215" s="3" t="n"/>
      <c r="D215" s="3" t="inlineStr">
        <is>
          <t>Review prac po stronie</t>
        </is>
      </c>
      <c r="E215" s="9" t="n"/>
      <c r="F215" s="2" t="inlineStr">
        <is>
          <t>AI SDLC</t>
        </is>
      </c>
      <c r="G215" s="16" t="n">
        <v>225</v>
      </c>
      <c r="H215" s="28" t="n"/>
    </row>
    <row r="216" ht="15" customHeight="1" s="51">
      <c r="A216" s="3" t="n"/>
      <c r="B216" s="3" t="n"/>
      <c r="D216" s="3" t="inlineStr">
        <is>
          <t>Suma TL.28</t>
        </is>
      </c>
      <c r="E216" s="9" t="n"/>
      <c r="F216" s="3" t="n"/>
      <c r="G216" s="16" t="n"/>
      <c r="H216" s="28">
        <f>SUM(G213:G215)</f>
        <v/>
      </c>
    </row>
    <row r="217" ht="15" customHeight="1" s="51">
      <c r="A217" s="3" t="n"/>
      <c r="B217" s="3" t="n"/>
      <c r="C217" s="11" t="n"/>
      <c r="D217" s="3" t="n"/>
      <c r="E217" s="3" t="n"/>
      <c r="F217" s="3" t="n"/>
      <c r="G217" s="16" t="n"/>
      <c r="H217" s="28" t="n"/>
    </row>
    <row r="218" ht="32" customHeight="1" s="51">
      <c r="A218" s="7" t="inlineStr">
        <is>
          <t>TL.6 [Testy e2e]</t>
        </is>
      </c>
      <c r="B218" s="7" t="inlineStr">
        <is>
          <t>Testy e2e</t>
        </is>
      </c>
      <c r="C218" s="8" t="inlineStr">
        <is>
          <t>TL.6 [Testy e2e] - Instrukcja dla AI generująca scenariusze e2e w pseudokodzie (custom inhouse dsl)</t>
        </is>
      </c>
      <c r="D218" s="7" t="inlineStr">
        <is>
          <t>Sekcja</t>
        </is>
      </c>
      <c r="E218" s="3" t="n"/>
      <c r="F218" s="3" t="n"/>
      <c r="G218" s="16" t="n"/>
      <c r="H218" s="28" t="n"/>
    </row>
    <row r="219" ht="15" customHeight="1" s="51">
      <c r="A219" s="3" t="n"/>
      <c r="B219" s="3" t="n"/>
      <c r="C219" s="53" t="inlineStr">
        <is>
          <t>AI generuje scenariusze e2e w pseudokodzie (custom inhouse DSL), które są gotowe do automatycznego wykonania. Skraca to czas tworzenia testów i zapewnia powtarzalność.</t>
        </is>
      </c>
      <c r="D219" s="3" t="inlineStr">
        <is>
          <t>Opis</t>
        </is>
      </c>
      <c r="E219" s="3" t="n"/>
      <c r="F219" s="3" t="n"/>
      <c r="G219" s="16" t="n"/>
      <c r="H219" s="28" t="n"/>
    </row>
    <row r="220" ht="15" customHeight="1" s="51">
      <c r="A220" s="3" t="n"/>
      <c r="B220" s="3" t="n"/>
      <c r="D220" s="3" t="inlineStr">
        <is>
          <t>Przekazanie knowhow</t>
        </is>
      </c>
      <c r="E220" s="9" t="n"/>
      <c r="F220" s="3" t="inlineStr">
        <is>
          <t>knowhow</t>
        </is>
      </c>
      <c r="G220" s="16" t="n">
        <v>1250</v>
      </c>
      <c r="H220" s="28" t="n"/>
    </row>
    <row r="221" ht="15" customHeight="1" s="51">
      <c r="A221" s="3" t="n"/>
      <c r="B221" s="3" t="n"/>
      <c r="D221" s="3" t="inlineStr">
        <is>
          <t>Przygotowanie instrukcji AI do generowania scenariuszy e2e w pseudokodzie</t>
        </is>
      </c>
      <c r="E221" s="9" t="n"/>
      <c r="F221" s="2" t="inlineStr">
        <is>
          <t>AI SDLC</t>
        </is>
      </c>
      <c r="G221" s="16" t="n">
        <v>1750</v>
      </c>
      <c r="H221" s="28" t="n"/>
    </row>
    <row r="222" ht="15" customHeight="1" s="51">
      <c r="A222" s="3" t="n"/>
      <c r="B222" s="3" t="n"/>
      <c r="D222" s="3" t="inlineStr">
        <is>
          <t>Review prac po stronie</t>
        </is>
      </c>
      <c r="E222" s="9" t="n"/>
      <c r="F222" s="2" t="inlineStr">
        <is>
          <t>AI SDLC</t>
        </is>
      </c>
      <c r="G222" s="16" t="n">
        <v>300</v>
      </c>
      <c r="H222" s="28" t="n"/>
    </row>
    <row r="223" ht="15" customHeight="1" s="51">
      <c r="A223" s="3" t="n"/>
      <c r="B223" s="3" t="n"/>
      <c r="D223" s="3" t="inlineStr">
        <is>
          <t>Suma TL.6 [Testy e2e]</t>
        </is>
      </c>
      <c r="E223" s="9" t="n"/>
      <c r="F223" s="3" t="n"/>
      <c r="G223" s="16" t="n"/>
      <c r="H223" s="28">
        <f>SUM(G220:G222)</f>
        <v/>
      </c>
    </row>
    <row r="224" ht="15" customHeight="1" s="51">
      <c r="A224" s="3" t="n"/>
      <c r="B224" s="3" t="n"/>
      <c r="C224" s="11" t="n"/>
      <c r="D224" s="3" t="n"/>
      <c r="E224" s="3" t="n"/>
      <c r="F224" s="3" t="n"/>
      <c r="G224" s="16" t="n"/>
      <c r="H224" s="28" t="n"/>
    </row>
    <row r="225" ht="32" customHeight="1" s="51">
      <c r="A225" s="7" t="inlineStr">
        <is>
          <t>TL.7</t>
        </is>
      </c>
      <c r="B225" s="7" t="inlineStr">
        <is>
          <t>Testy e2e</t>
        </is>
      </c>
      <c r="C225" s="8" t="inlineStr">
        <is>
          <t>TL.7 - Instrukcja dla AI do efektywnego nawigowania po stronie i wybrania optymalnych selector-ów</t>
        </is>
      </c>
      <c r="D225" s="7" t="inlineStr">
        <is>
          <t>Sekcja</t>
        </is>
      </c>
      <c r="E225" s="3" t="n"/>
      <c r="F225" s="3" t="n"/>
      <c r="G225" s="16" t="n"/>
      <c r="H225" s="28" t="n"/>
    </row>
    <row r="226" ht="15" customHeight="1" s="51">
      <c r="A226" s="3" t="n"/>
      <c r="B226" s="3" t="n"/>
      <c r="C226" s="53" t="inlineStr">
        <is>
          <t>AI efektywnie nawiguje po stronie i dobiera optymalne selectory. Testy e2e stają się bardziej niezawodne i odporne na drobne zmiany w UI.</t>
        </is>
      </c>
      <c r="D226" s="3" t="inlineStr">
        <is>
          <t>Opis</t>
        </is>
      </c>
      <c r="E226" s="3" t="n"/>
      <c r="F226" s="3" t="n"/>
      <c r="G226" s="16" t="n"/>
      <c r="H226" s="28" t="n"/>
    </row>
    <row r="227" ht="15" customHeight="1" s="51">
      <c r="A227" s="3" t="n"/>
      <c r="B227" s="3" t="n"/>
      <c r="D227" s="3" t="inlineStr">
        <is>
          <t>Przekazanie knowhow</t>
        </is>
      </c>
      <c r="E227" s="9" t="n"/>
      <c r="F227" s="3" t="inlineStr">
        <is>
          <t>knowhow</t>
        </is>
      </c>
      <c r="G227" s="16" t="n">
        <v>400</v>
      </c>
      <c r="H227" s="28" t="n"/>
    </row>
    <row r="228" ht="15" customHeight="1" s="51">
      <c r="A228" s="3" t="n"/>
      <c r="B228" s="3" t="n"/>
      <c r="D228" s="3" t="inlineStr">
        <is>
          <t>Przygotowanie instrukcji AI do efektywnej nawigacji po stronie i doboru selectorów</t>
        </is>
      </c>
      <c r="E228" s="9" t="n"/>
      <c r="F228" s="2" t="inlineStr">
        <is>
          <t>AI SDLC</t>
        </is>
      </c>
      <c r="G228" s="16" t="n">
        <v>750</v>
      </c>
      <c r="H228" s="28" t="n"/>
    </row>
    <row r="229" ht="15" customHeight="1" s="51">
      <c r="A229" s="3" t="n"/>
      <c r="B229" s="3" t="n"/>
      <c r="D229" s="3" t="inlineStr">
        <is>
          <t>Review prac po stronie</t>
        </is>
      </c>
      <c r="E229" s="9" t="n"/>
      <c r="F229" s="2" t="inlineStr">
        <is>
          <t>AI SDLC</t>
        </is>
      </c>
      <c r="G229" s="16" t="n">
        <v>300</v>
      </c>
      <c r="H229" s="28" t="n"/>
    </row>
    <row r="230" ht="15" customHeight="1" s="51">
      <c r="A230" s="3" t="n"/>
      <c r="B230" s="3" t="n"/>
      <c r="D230" s="3" t="inlineStr">
        <is>
          <t>Suma TL.7</t>
        </is>
      </c>
      <c r="E230" s="9" t="n"/>
      <c r="F230" s="3" t="n"/>
      <c r="G230" s="16" t="n"/>
      <c r="H230" s="28">
        <f>SUM(G227:G229)</f>
        <v/>
      </c>
    </row>
    <row r="231" ht="15" customHeight="1" s="51">
      <c r="A231" s="3" t="n"/>
      <c r="B231" s="3" t="n"/>
      <c r="C231" s="11" t="n"/>
      <c r="D231" s="3" t="n"/>
      <c r="E231" s="3" t="n"/>
      <c r="F231" s="3" t="n"/>
      <c r="G231" s="16" t="n"/>
      <c r="H231" s="28" t="n"/>
    </row>
    <row r="232" ht="16" customHeight="1" s="51">
      <c r="A232" s="7" t="inlineStr">
        <is>
          <t>TL.27</t>
        </is>
      </c>
      <c r="B232" s="7" t="inlineStr">
        <is>
          <t>Testy e2e</t>
        </is>
      </c>
      <c r="C232" s="8" t="inlineStr">
        <is>
          <t>TL.27 - Tool do Zarządzanie Danymi testowymi i resetowalność e2e</t>
        </is>
      </c>
      <c r="D232" s="7" t="inlineStr">
        <is>
          <t>Sekcja</t>
        </is>
      </c>
      <c r="E232" s="3" t="n"/>
      <c r="F232" s="3" t="n"/>
      <c r="G232" s="16" t="n"/>
      <c r="H232" s="28" t="n"/>
    </row>
    <row r="233" ht="15" customHeight="1" s="51">
      <c r="A233" s="3" t="n"/>
      <c r="B233" s="3" t="n"/>
      <c r="C233" s="53" t="inlineStr">
        <is>
          <t>Usprawniamy pozyskiwanie danych testowych i deterministyczny reset scenariuszy - najtrudniejszy element automatyzacji e2e. Testy mogą być wielokrotnie powtarzane z gwarancją powtarzalności.</t>
        </is>
      </c>
      <c r="D233" s="3" t="inlineStr">
        <is>
          <t>Opis</t>
        </is>
      </c>
      <c r="E233" s="3" t="n"/>
      <c r="F233" s="3" t="n"/>
      <c r="G233" s="16" t="n"/>
      <c r="H233" s="28" t="n"/>
    </row>
    <row r="234" ht="15" customHeight="1" s="51">
      <c r="A234" s="3" t="n"/>
      <c r="B234" s="3" t="n"/>
      <c r="D234" s="3" t="inlineStr">
        <is>
          <t>Przekazanie knowhow</t>
        </is>
      </c>
      <c r="E234" s="9" t="n"/>
      <c r="F234" s="3" t="inlineStr">
        <is>
          <t>knowhow</t>
        </is>
      </c>
      <c r="G234" s="16" t="n">
        <v>700</v>
      </c>
      <c r="H234" s="28" t="n"/>
    </row>
    <row r="235" ht="15" customHeight="1" s="51">
      <c r="A235" s="3" t="n"/>
      <c r="B235" s="3" t="n"/>
      <c r="D235" s="3" t="inlineStr">
        <is>
          <t>Dostosowanie narzędzia do zarządzania danymi testowymi i resetowalności e2e</t>
        </is>
      </c>
      <c r="E235" s="9" t="n"/>
      <c r="F235" s="2" t="inlineStr">
        <is>
          <t>AI SDLC</t>
        </is>
      </c>
      <c r="G235" s="16" t="n">
        <v>1250</v>
      </c>
      <c r="H235" s="28" t="n"/>
    </row>
    <row r="236" ht="15" customHeight="1" s="51">
      <c r="A236" s="3" t="n"/>
      <c r="B236" s="3" t="n"/>
      <c r="D236" s="3" t="inlineStr">
        <is>
          <t>Review prac po stronie</t>
        </is>
      </c>
      <c r="E236" s="9" t="n"/>
      <c r="F236" s="2" t="inlineStr">
        <is>
          <t>AI SDLC</t>
        </is>
      </c>
      <c r="G236" s="16" t="n">
        <v>500</v>
      </c>
      <c r="H236" s="28" t="n"/>
    </row>
    <row r="237" ht="15" customHeight="1" s="51">
      <c r="A237" s="3" t="n"/>
      <c r="B237" s="3" t="n"/>
      <c r="D237" s="3" t="inlineStr">
        <is>
          <t>Suma TL.27</t>
        </is>
      </c>
      <c r="E237" s="9" t="n"/>
      <c r="F237" s="3" t="n"/>
      <c r="G237" s="16" t="n"/>
      <c r="H237" s="28">
        <f>SUM(G234:G236)</f>
        <v/>
      </c>
    </row>
    <row r="238" ht="15" customHeight="1" s="51">
      <c r="A238" s="3" t="n"/>
      <c r="B238" s="3" t="n"/>
      <c r="C238" s="11" t="n"/>
      <c r="D238" s="3" t="n"/>
      <c r="E238" s="3" t="n"/>
      <c r="F238" s="3" t="n"/>
      <c r="G238" s="16" t="n"/>
      <c r="H238" s="28" t="n"/>
    </row>
    <row r="239" ht="16" customHeight="1" s="51">
      <c r="A239" s="7" t="inlineStr">
        <is>
          <t>TL.33</t>
        </is>
      </c>
      <c r="B239" s="7" t="inlineStr">
        <is>
          <t>Integracje z Jira i Confluence on premis</t>
        </is>
      </c>
      <c r="C239" s="8" t="inlineStr">
        <is>
          <t>TL.33 - Integracja agenta z Go Jira on premis</t>
        </is>
      </c>
      <c r="D239" s="7" t="inlineStr">
        <is>
          <t>Sekcja</t>
        </is>
      </c>
      <c r="E239" s="3" t="n"/>
      <c r="F239" s="3" t="n"/>
      <c r="G239" s="16" t="n"/>
      <c r="H239" s="28" t="n"/>
    </row>
    <row r="240" ht="15" customHeight="1" s="51">
      <c r="A240" s="3" t="n"/>
      <c r="B240" s="3" t="n"/>
      <c r="C240" s="53" t="inlineStr">
        <is>
          <t>Agent zyskuje możliwość tworzenia, czytania i komentowania issue w Jira on-premise przez API.</t>
        </is>
      </c>
      <c r="D240" s="3" t="inlineStr">
        <is>
          <t>Opis</t>
        </is>
      </c>
      <c r="E240" s="3" t="n"/>
      <c r="F240" s="3" t="n"/>
      <c r="G240" s="16" t="n"/>
      <c r="H240" s="28" t="n"/>
    </row>
    <row r="241" ht="15" customHeight="1" s="51">
      <c r="A241" s="3" t="n"/>
      <c r="B241" s="3" t="n"/>
      <c r="D241" s="3" t="inlineStr">
        <is>
          <t>Przekazanie knowhow</t>
        </is>
      </c>
      <c r="E241" s="9" t="n"/>
      <c r="F241" s="3" t="inlineStr">
        <is>
          <t>knowhow</t>
        </is>
      </c>
      <c r="G241" s="16" t="n">
        <v>0</v>
      </c>
      <c r="H241" s="28" t="n"/>
    </row>
    <row r="242" ht="15" customHeight="1" s="51">
      <c r="A242" s="3" t="n"/>
      <c r="B242" s="3" t="n"/>
      <c r="D242" s="3" t="inlineStr">
        <is>
          <t>Integracja agenta z Go Jira on premise</t>
        </is>
      </c>
      <c r="E242" s="9" t="n"/>
      <c r="F242" s="2" t="inlineStr">
        <is>
          <t>AI SDLC</t>
        </is>
      </c>
      <c r="G242" s="16" t="n">
        <v>1000</v>
      </c>
      <c r="H242" s="28" t="n"/>
    </row>
    <row r="243" ht="15" customHeight="1" s="51">
      <c r="A243" s="3" t="n"/>
      <c r="B243" s="3" t="n"/>
      <c r="D243" s="3" t="inlineStr">
        <is>
          <t>Review prac po stronie</t>
        </is>
      </c>
      <c r="E243" s="9" t="n"/>
      <c r="F243" s="2" t="inlineStr">
        <is>
          <t>AI SDLC</t>
        </is>
      </c>
      <c r="G243" s="16" t="n">
        <v>200</v>
      </c>
      <c r="H243" s="28" t="n"/>
    </row>
    <row r="244" ht="15" customHeight="1" s="51">
      <c r="A244" s="3" t="n"/>
      <c r="B244" s="3" t="n"/>
      <c r="D244" s="3" t="inlineStr">
        <is>
          <t>Suma TL.33</t>
        </is>
      </c>
      <c r="E244" s="9" t="n"/>
      <c r="F244" s="3" t="n"/>
      <c r="G244" s="16" t="n"/>
      <c r="H244" s="28">
        <f>SUM(G241:G243)</f>
        <v/>
      </c>
    </row>
    <row r="245" ht="15" customHeight="1" s="51">
      <c r="A245" s="3" t="n"/>
      <c r="B245" s="3" t="n"/>
      <c r="C245" s="11" t="n"/>
      <c r="D245" s="3" t="n"/>
      <c r="E245" s="3" t="n"/>
      <c r="F245" s="3" t="n"/>
      <c r="G245" s="16" t="n"/>
      <c r="H245" s="28" t="n"/>
    </row>
    <row r="246" ht="16" customHeight="1" s="51">
      <c r="A246" s="7" t="inlineStr">
        <is>
          <t>TL.23</t>
        </is>
      </c>
      <c r="B246" s="7" t="inlineStr">
        <is>
          <t>Integracje z Jira i Confluence on premis</t>
        </is>
      </c>
      <c r="C246" s="8" t="inlineStr">
        <is>
          <t>TL.23 - Triage issues w Jira (nice to have)</t>
        </is>
      </c>
      <c r="D246" s="7" t="inlineStr">
        <is>
          <t>Sekcja</t>
        </is>
      </c>
      <c r="E246" s="3" t="n"/>
      <c r="F246" s="3" t="n"/>
      <c r="G246" s="16" t="n"/>
      <c r="H246" s="28" t="n"/>
    </row>
    <row r="247" ht="15" customHeight="1" s="51">
      <c r="A247" s="3" t="n"/>
      <c r="B247" s="3" t="n"/>
      <c r="C247" s="53" t="inlineStr">
        <is>
          <t>AI automatycznie klasyfikuje i priorytetyzuje issue w Jira, pomagając zespołowi skupić się na najważniejszych zadaniach. Później umożliwi automatyczne implementacje najprostszych issue: podbicie wersji, reprodukcja buga etc.</t>
        </is>
      </c>
      <c r="D247" s="3" t="inlineStr">
        <is>
          <t>Opis</t>
        </is>
      </c>
      <c r="E247" s="3" t="n"/>
      <c r="F247" s="3" t="n"/>
      <c r="G247" s="16" t="n"/>
      <c r="H247" s="28" t="n"/>
    </row>
    <row r="248" ht="15" customHeight="1" s="51">
      <c r="A248" s="3" t="n"/>
      <c r="B248" s="3" t="n"/>
      <c r="D248" s="3" t="inlineStr">
        <is>
          <t>Przekazanie knowhow</t>
        </is>
      </c>
      <c r="E248" s="9" t="n"/>
      <c r="F248" s="3" t="inlineStr">
        <is>
          <t>knowhow</t>
        </is>
      </c>
      <c r="G248" s="16" t="n">
        <v>750</v>
      </c>
      <c r="H248" s="28" t="n"/>
    </row>
    <row r="249" ht="15" customHeight="1" s="51">
      <c r="A249" s="3" t="n"/>
      <c r="B249" s="3" t="n"/>
      <c r="D249" s="3" t="inlineStr">
        <is>
          <t>Wpięcie  triage issues w Jira</t>
        </is>
      </c>
      <c r="E249" s="9" t="n"/>
      <c r="F249" s="2" t="inlineStr">
        <is>
          <t>AI SDLC</t>
        </is>
      </c>
      <c r="G249" s="16" t="n">
        <v>1250</v>
      </c>
      <c r="H249" s="28" t="n"/>
    </row>
    <row r="250" ht="15" customHeight="1" s="51">
      <c r="A250" s="3" t="n"/>
      <c r="B250" s="3" t="n"/>
      <c r="D250" s="3" t="inlineStr">
        <is>
          <t>Review prac po stronie</t>
        </is>
      </c>
      <c r="E250" s="9" t="n"/>
      <c r="F250" s="2" t="inlineStr">
        <is>
          <t>AI SDLC</t>
        </is>
      </c>
      <c r="G250" s="16" t="n">
        <v>225</v>
      </c>
      <c r="H250" s="28" t="n"/>
    </row>
    <row r="251" ht="15" customHeight="1" s="51">
      <c r="A251" s="3" t="n"/>
      <c r="B251" s="3" t="n"/>
      <c r="D251" s="3" t="inlineStr">
        <is>
          <t>Suma TL.23</t>
        </is>
      </c>
      <c r="E251" s="9" t="n"/>
      <c r="F251" s="3" t="n"/>
      <c r="G251" s="16" t="n"/>
      <c r="H251" s="28">
        <f>SUM(G248:G250)</f>
        <v/>
      </c>
    </row>
    <row r="252" ht="15" customHeight="1" s="51">
      <c r="A252" s="3" t="n"/>
      <c r="B252" s="3" t="n"/>
      <c r="C252" s="11" t="n"/>
      <c r="D252" s="3" t="n"/>
      <c r="E252" s="3" t="n"/>
      <c r="F252" s="3" t="n"/>
      <c r="G252" s="16" t="n"/>
      <c r="H252" s="28" t="n"/>
    </row>
    <row r="253" ht="16" customHeight="1" s="51">
      <c r="A253" s="7" t="inlineStr">
        <is>
          <t>TL.24</t>
        </is>
      </c>
      <c r="B253" s="7" t="inlineStr">
        <is>
          <t>Integracje z Jira i Confluence on premis</t>
        </is>
      </c>
      <c r="C253" s="8" t="inlineStr">
        <is>
          <t>TL.24 - Find duplicates w Jira (nice to have, best effort dla on-premis)</t>
        </is>
      </c>
      <c r="D253" s="7" t="inlineStr">
        <is>
          <t>Sekcja</t>
        </is>
      </c>
      <c r="E253" s="3" t="n"/>
      <c r="F253" s="3" t="n"/>
      <c r="G253" s="16" t="n"/>
      <c r="H253" s="28" t="n"/>
    </row>
    <row r="254" ht="15" customHeight="1" s="51">
      <c r="A254" s="3" t="n"/>
      <c r="B254" s="3" t="n"/>
      <c r="C254" s="53" t="inlineStr">
        <is>
          <t>AI wyszukuje duplikaty issue w Jira on-premise.</t>
        </is>
      </c>
      <c r="D254" s="3" t="inlineStr">
        <is>
          <t>Opis</t>
        </is>
      </c>
      <c r="E254" s="3" t="n"/>
      <c r="F254" s="3" t="n"/>
      <c r="G254" s="16" t="n"/>
      <c r="H254" s="28" t="n"/>
    </row>
    <row r="255" ht="15" customHeight="1" s="51">
      <c r="A255" s="3" t="n"/>
      <c r="B255" s="3" t="n"/>
      <c r="D255" s="3" t="inlineStr">
        <is>
          <t>Przekazanie knowhow</t>
        </is>
      </c>
      <c r="E255" s="9" t="n"/>
      <c r="F255" s="3" t="inlineStr">
        <is>
          <t>knowhow</t>
        </is>
      </c>
      <c r="G255" s="16" t="n">
        <v>750</v>
      </c>
      <c r="H255" s="28" t="n"/>
    </row>
    <row r="256" ht="15" customHeight="1" s="51">
      <c r="A256" s="3" t="n"/>
      <c r="B256" s="3" t="n"/>
      <c r="D256" s="3" t="inlineStr">
        <is>
          <t>Przygotowanie wyszukiwania duplikatów w Jira</t>
        </is>
      </c>
      <c r="E256" s="9" t="n"/>
      <c r="F256" s="2" t="inlineStr">
        <is>
          <t>AI SDLC</t>
        </is>
      </c>
      <c r="G256" s="16" t="n">
        <v>1250</v>
      </c>
      <c r="H256" s="28" t="n"/>
    </row>
    <row r="257" ht="15" customHeight="1" s="51">
      <c r="A257" s="3" t="n"/>
      <c r="B257" s="3" t="n"/>
      <c r="D257" s="3" t="inlineStr">
        <is>
          <t>Review prac po stronie</t>
        </is>
      </c>
      <c r="E257" s="9" t="n"/>
      <c r="F257" s="2" t="inlineStr">
        <is>
          <t>AI SDLC</t>
        </is>
      </c>
      <c r="G257" s="16" t="n">
        <v>225</v>
      </c>
      <c r="H257" s="28" t="n"/>
    </row>
    <row r="258" ht="15" customHeight="1" s="51">
      <c r="A258" s="3" t="n"/>
      <c r="B258" s="3" t="n"/>
      <c r="D258" s="3" t="inlineStr">
        <is>
          <t>Suma TL.24</t>
        </is>
      </c>
      <c r="E258" s="9" t="n"/>
      <c r="F258" s="3" t="n"/>
      <c r="G258" s="16" t="n"/>
      <c r="H258" s="28">
        <f>SUM(G255:G257)</f>
        <v/>
      </c>
    </row>
    <row r="259" ht="15" customHeight="1" s="51">
      <c r="A259" s="3" t="n"/>
      <c r="B259" s="3" t="n"/>
      <c r="C259" s="11" t="n"/>
      <c r="D259" s="3" t="n"/>
      <c r="E259" s="3" t="n"/>
      <c r="F259" s="3" t="n"/>
      <c r="G259" s="16" t="n"/>
      <c r="H259" s="28" t="n"/>
    </row>
    <row r="260" ht="16" customHeight="1" s="51">
      <c r="A260" s="7" t="inlineStr">
        <is>
          <t>TL.25</t>
        </is>
      </c>
      <c r="B260" s="7" t="inlineStr">
        <is>
          <t>Integracje z Jira i Confluence on premis</t>
        </is>
      </c>
      <c r="C260" s="8" t="inlineStr">
        <is>
          <t>TL.25 - Szukanie w Confluence (best effort dla on-premis)</t>
        </is>
      </c>
      <c r="D260" s="7" t="inlineStr">
        <is>
          <t>Sekcja</t>
        </is>
      </c>
      <c r="E260" s="3" t="n"/>
      <c r="F260" s="3" t="n"/>
      <c r="G260" s="16" t="n"/>
      <c r="H260" s="28" t="n"/>
    </row>
    <row r="261" ht="15" customHeight="1" s="51">
      <c r="A261" s="3" t="n"/>
      <c r="B261" s="3" t="n"/>
      <c r="C261" s="53" t="inlineStr">
        <is>
          <t>AI przeszukuje Confluence on-premise, znajdując relevantne artykuły i dokumentację.</t>
        </is>
      </c>
      <c r="D261" s="3" t="inlineStr">
        <is>
          <t>Opis</t>
        </is>
      </c>
      <c r="E261" s="3" t="n"/>
      <c r="F261" s="3" t="n"/>
      <c r="G261" s="16" t="n"/>
      <c r="H261" s="28" t="n"/>
    </row>
    <row r="262" ht="15" customHeight="1" s="51">
      <c r="A262" s="3" t="n"/>
      <c r="B262" s="3" t="n"/>
      <c r="D262" s="3" t="inlineStr">
        <is>
          <t>Przekazanie knowhow</t>
        </is>
      </c>
      <c r="E262" s="9" t="n"/>
      <c r="F262" s="3" t="inlineStr">
        <is>
          <t>knowhow</t>
        </is>
      </c>
      <c r="G262" s="16" t="n">
        <v>750</v>
      </c>
      <c r="H262" s="28" t="n"/>
    </row>
    <row r="263" ht="15" customHeight="1" s="51">
      <c r="A263" s="3" t="n"/>
      <c r="B263" s="3" t="n"/>
      <c r="D263" s="3" t="inlineStr">
        <is>
          <t>Przygotowanie wyszukiwania w Confluence</t>
        </is>
      </c>
      <c r="E263" s="9" t="n"/>
      <c r="F263" s="2" t="inlineStr">
        <is>
          <t>AI SDLC</t>
        </is>
      </c>
      <c r="G263" s="16" t="n">
        <v>1250</v>
      </c>
      <c r="H263" s="28" t="n"/>
    </row>
    <row r="264" ht="15" customHeight="1" s="51">
      <c r="A264" s="3" t="n"/>
      <c r="B264" s="3" t="n"/>
      <c r="D264" s="3" t="inlineStr">
        <is>
          <t>Review prac po stronie</t>
        </is>
      </c>
      <c r="E264" s="9" t="n"/>
      <c r="F264" s="2" t="inlineStr">
        <is>
          <t>AI SDLC</t>
        </is>
      </c>
      <c r="G264" s="16" t="n">
        <v>225</v>
      </c>
      <c r="H264" s="28" t="n"/>
    </row>
    <row r="265" ht="15" customHeight="1" s="51">
      <c r="A265" s="3" t="n"/>
      <c r="B265" s="3" t="n"/>
      <c r="D265" s="3" t="inlineStr">
        <is>
          <t>Suma TL.25</t>
        </is>
      </c>
      <c r="E265" s="9" t="n"/>
      <c r="F265" s="3" t="n"/>
      <c r="G265" s="16" t="n"/>
      <c r="H265" s="28">
        <f>SUM(G262:G264)</f>
        <v/>
      </c>
    </row>
    <row r="266" ht="15" customHeight="1" s="51">
      <c r="A266" s="3" t="n"/>
      <c r="B266" s="3" t="n"/>
      <c r="C266" s="11" t="n"/>
      <c r="D266" s="3" t="n"/>
      <c r="E266" s="3" t="n"/>
      <c r="F266" s="3" t="n"/>
      <c r="G266" s="16" t="n"/>
      <c r="H266" s="28" t="n"/>
    </row>
    <row r="267" ht="16" customHeight="1" s="51">
      <c r="A267" s="7" t="inlineStr">
        <is>
          <t>TL.26</t>
        </is>
      </c>
      <c r="B267" s="7" t="inlineStr">
        <is>
          <t>Integracje z Jira i Confluence on premis</t>
        </is>
      </c>
      <c r="C267" s="8" t="inlineStr">
        <is>
          <t>TL.26 - Aktualizacja artykułu w Confluence (nice to have)</t>
        </is>
      </c>
      <c r="D267" s="7" t="inlineStr">
        <is>
          <t>Sekcja</t>
        </is>
      </c>
      <c r="E267" s="3" t="n"/>
      <c r="F267" s="3" t="n"/>
      <c r="G267" s="16" t="n"/>
      <c r="H267" s="28" t="n"/>
    </row>
    <row r="268" ht="15" customHeight="1" s="51">
      <c r="A268" s="3" t="n"/>
      <c r="B268" s="3" t="n"/>
      <c r="C268" s="53" t="inlineStr">
        <is>
          <t>AI może aktualizować artykuły w Confluence na podstawie nowych informacji, utrzymując dokumentację w aktualnym stanie bez ręcznego edytowania.</t>
        </is>
      </c>
      <c r="D268" s="3" t="inlineStr">
        <is>
          <t>Opis</t>
        </is>
      </c>
      <c r="E268" s="3" t="n"/>
      <c r="F268" s="3" t="n"/>
      <c r="G268" s="16" t="n"/>
      <c r="H268" s="28" t="n"/>
    </row>
    <row r="269" ht="15" customHeight="1" s="51">
      <c r="A269" s="3" t="n"/>
      <c r="B269" s="3" t="n"/>
      <c r="D269" s="3" t="inlineStr">
        <is>
          <t>Przekazanie knowhow</t>
        </is>
      </c>
      <c r="E269" s="9" t="n"/>
      <c r="F269" s="3" t="inlineStr">
        <is>
          <t>knowhow</t>
        </is>
      </c>
      <c r="G269" s="16" t="n">
        <v>750</v>
      </c>
      <c r="H269" s="28" t="n"/>
    </row>
    <row r="270" ht="15" customHeight="1" s="51">
      <c r="A270" s="3" t="n"/>
      <c r="B270" s="3" t="n"/>
      <c r="D270" s="3" t="inlineStr">
        <is>
          <t>Przygotowanie aktualizacji artykułów w Confluence</t>
        </is>
      </c>
      <c r="E270" s="9" t="n"/>
      <c r="F270" s="2" t="inlineStr">
        <is>
          <t>AI SDLC</t>
        </is>
      </c>
      <c r="G270" s="16" t="n">
        <v>1250</v>
      </c>
      <c r="H270" s="28" t="n"/>
    </row>
    <row r="271" ht="15" customHeight="1" s="51">
      <c r="A271" s="3" t="n"/>
      <c r="B271" s="3" t="n"/>
      <c r="D271" s="3" t="inlineStr">
        <is>
          <t>Review prac po stronie</t>
        </is>
      </c>
      <c r="E271" s="9" t="n"/>
      <c r="F271" s="2" t="inlineStr">
        <is>
          <t>AI SDLC</t>
        </is>
      </c>
      <c r="G271" s="16" t="n">
        <v>225</v>
      </c>
      <c r="H271" s="28" t="n"/>
    </row>
    <row r="272" ht="15" customHeight="1" s="51">
      <c r="A272" s="3" t="n"/>
      <c r="B272" s="3" t="n"/>
      <c r="D272" s="3" t="inlineStr">
        <is>
          <t>Suma TL.26</t>
        </is>
      </c>
      <c r="E272" s="9" t="n"/>
      <c r="F272" s="3" t="n"/>
      <c r="G272" s="16" t="n"/>
      <c r="H272" s="28">
        <f>SUM(G269:G271)</f>
        <v/>
      </c>
    </row>
    <row r="273" ht="15" customHeight="1" s="51">
      <c r="A273" s="3" t="n"/>
      <c r="B273" s="3" t="n"/>
      <c r="C273" s="11" t="n"/>
      <c r="D273" s="3" t="n"/>
      <c r="E273" s="3" t="n"/>
      <c r="F273" s="3" t="n"/>
      <c r="G273" s="16" t="n"/>
      <c r="H273" s="28" t="n"/>
    </row>
    <row r="274" ht="16" customHeight="1" s="51">
      <c r="A274" s="7" t="inlineStr">
        <is>
          <t>TL.12</t>
        </is>
      </c>
      <c r="B274" s="7" t="inlineStr">
        <is>
          <t>Excel → XML (jednorazowe)</t>
        </is>
      </c>
      <c r="C274" s="8" t="inlineStr">
        <is>
          <t>TL.12 - Jednorazowa migracja i walidacja parametryzacji (Excel -&gt; XML)</t>
        </is>
      </c>
      <c r="D274" s="7" t="inlineStr">
        <is>
          <t>Sekcja</t>
        </is>
      </c>
      <c r="E274" s="3" t="n"/>
      <c r="F274" s="3" t="n"/>
      <c r="G274" s="16" t="n"/>
      <c r="H274" s="28" t="n"/>
    </row>
    <row r="275" ht="15" customHeight="1" s="51">
      <c r="A275" s="3" t="n"/>
      <c r="B275" s="3" t="n"/>
      <c r="C275" s="53" t="inlineStr">
        <is>
          <t>AI migruje i waliduje parametryzację z Excel do XML wraz z mapowaniem na pakiety i konfiguracje DB. Jednorazowa operacja eliminuje ręczne przepisywanie i ryzyko błędów.</t>
        </is>
      </c>
      <c r="D275" s="3" t="inlineStr">
        <is>
          <t>Opis</t>
        </is>
      </c>
      <c r="E275" s="3" t="n"/>
      <c r="F275" s="3" t="n"/>
      <c r="G275" s="16" t="n"/>
      <c r="H275" s="28" t="n"/>
    </row>
    <row r="276" ht="15" customHeight="1" s="51">
      <c r="A276" s="3" t="n"/>
      <c r="B276" s="3" t="n"/>
      <c r="D276" s="3" t="inlineStr">
        <is>
          <t>Przekazanie knowhow</t>
        </is>
      </c>
      <c r="E276" s="9" t="n"/>
      <c r="F276" s="3" t="inlineStr">
        <is>
          <t>knowhow</t>
        </is>
      </c>
      <c r="G276" s="16" t="n">
        <v>700</v>
      </c>
      <c r="H276" s="28" t="n"/>
    </row>
    <row r="277" ht="15" customHeight="1" s="51">
      <c r="A277" s="3" t="n"/>
      <c r="B277" s="3" t="n"/>
      <c r="D277" s="3" t="inlineStr">
        <is>
          <t>Wykonanie jednorazowej migracji i walidacji parametryzacji z Excel do XML</t>
        </is>
      </c>
      <c r="E277" s="9" t="n"/>
      <c r="F277" s="2" t="inlineStr">
        <is>
          <t>AI SDLC</t>
        </is>
      </c>
      <c r="G277" s="16" t="n">
        <v>1750</v>
      </c>
      <c r="H277" s="28" t="n"/>
    </row>
    <row r="278" ht="15" customHeight="1" s="51">
      <c r="A278" s="3" t="n"/>
      <c r="B278" s="3" t="n"/>
      <c r="D278" s="3" t="inlineStr">
        <is>
          <t>Review prac po stronie</t>
        </is>
      </c>
      <c r="E278" s="9" t="n"/>
      <c r="F278" s="2" t="inlineStr">
        <is>
          <t>AI SDLC</t>
        </is>
      </c>
      <c r="G278" s="16" t="n">
        <v>0</v>
      </c>
      <c r="H278" s="28" t="n"/>
    </row>
    <row r="279" ht="15" customHeight="1" s="51">
      <c r="A279" s="3" t="n"/>
      <c r="B279" s="3" t="n"/>
      <c r="D279" s="3" t="inlineStr">
        <is>
          <t>Suma TL.12</t>
        </is>
      </c>
      <c r="E279" s="9" t="n"/>
      <c r="F279" s="3" t="n"/>
      <c r="G279" s="16" t="n"/>
      <c r="H279" s="28">
        <f>SUM(G276:G278)</f>
        <v/>
      </c>
    </row>
    <row r="280" ht="15" customHeight="1" s="51">
      <c r="A280" s="3" t="n"/>
      <c r="B280" s="3" t="n"/>
      <c r="C280" s="11" t="n"/>
      <c r="D280" s="3" t="n"/>
      <c r="E280" s="3" t="n"/>
      <c r="F280" s="3" t="n"/>
      <c r="G280" s="16" t="n"/>
    </row>
    <row r="281" ht="15" customHeight="1" s="51">
      <c r="A281" s="3" t="n"/>
      <c r="B281" s="3" t="n"/>
      <c r="C281" s="11" t="n"/>
      <c r="D281" s="3" t="n"/>
      <c r="E281" s="3" t="n"/>
      <c r="F281" s="3" t="n"/>
      <c r="G281" s="16" t="n"/>
    </row>
    <row r="282" ht="15" customHeight="1" s="51">
      <c r="A282" s="3" t="n"/>
      <c r="B282" s="3" t="n"/>
      <c r="C282" s="11" t="n"/>
      <c r="E282" s="14" t="n"/>
      <c r="F282" s="7" t="inlineStr">
        <is>
          <t>Suma wszystkiego</t>
        </is>
      </c>
      <c r="G282" s="16" t="n"/>
      <c r="H282" s="29">
        <f>SUM(H5:H279)</f>
        <v/>
      </c>
      <c r="I282" s="10" t="n"/>
    </row>
    <row r="283" ht="15" customHeight="1" s="51">
      <c r="A283" s="3" t="n"/>
      <c r="B283" s="3" t="n"/>
      <c r="C283" s="11" t="n"/>
      <c r="E283" s="9" t="n"/>
      <c r="F283" s="3" t="n"/>
      <c r="G283" s="16" t="n"/>
      <c r="H283" s="16" t="n"/>
    </row>
    <row r="284" ht="15" customHeight="1" s="51">
      <c r="A284" s="3" t="n"/>
      <c r="B284" s="3" t="n"/>
      <c r="C284" s="11" t="n"/>
      <c r="E284" s="9" t="n"/>
      <c r="F284" s="3" t="inlineStr">
        <is>
          <t>Przekazanie knowhow (suma)</t>
        </is>
      </c>
      <c r="G284" s="16" t="n"/>
      <c r="H284" s="16">
        <f>SUMIFS(G5:G285,F5:F285,"knowhow")</f>
        <v/>
      </c>
    </row>
    <row r="285" ht="15" customHeight="1" s="51">
      <c r="A285" s="3" t="n"/>
      <c r="B285" s="3" t="n"/>
      <c r="C285" s="11" t="n"/>
      <c r="E285" s="9" t="n"/>
      <c r="F285" s="3" t="inlineStr">
        <is>
          <t>AI SDLC (suma)</t>
        </is>
      </c>
      <c r="G285" s="16" t="n"/>
      <c r="H285" s="16">
        <f>SUMIFS(G5:G285,F5:F285,"AI SDLC")</f>
        <v/>
      </c>
    </row>
    <row r="286" ht="13" customHeight="1" s="51">
      <c r="G286" s="16" t="n"/>
    </row>
    <row r="287" ht="13" customHeight="1" s="51">
      <c r="G287" s="16" t="n"/>
    </row>
    <row r="288" ht="13" customHeight="1" s="51">
      <c r="G288" s="16" t="n"/>
    </row>
    <row r="289" ht="13" customHeight="1" s="51">
      <c r="G289" s="16" t="n"/>
    </row>
    <row r="290" ht="13" customHeight="1" s="51">
      <c r="G290" s="16" t="n"/>
    </row>
    <row r="291" ht="13" customHeight="1" s="51">
      <c r="G291" s="16" t="n"/>
    </row>
    <row r="292" ht="13" customHeight="1" s="51">
      <c r="G292" s="16" t="n"/>
    </row>
    <row r="293" ht="13" customHeight="1" s="51">
      <c r="G293" s="16" t="n"/>
    </row>
    <row r="294" ht="13" customHeight="1" s="51">
      <c r="G294" s="16" t="n"/>
    </row>
    <row r="295" ht="13" customHeight="1" s="51">
      <c r="G295" s="16" t="n"/>
    </row>
    <row r="296" ht="13" customHeight="1" s="51">
      <c r="G296" s="16" t="n"/>
    </row>
    <row r="297" ht="13" customHeight="1" s="51">
      <c r="G297" s="16" t="n"/>
    </row>
    <row r="298" ht="13" customHeight="1" s="51">
      <c r="G298" s="16" t="n"/>
    </row>
    <row r="299" ht="13" customHeight="1" s="51">
      <c r="G299" s="16" t="n"/>
    </row>
    <row r="300" ht="13" customHeight="1" s="51">
      <c r="G300" s="16" t="n"/>
    </row>
    <row r="301" ht="13" customHeight="1" s="51">
      <c r="G301" s="16" t="n"/>
    </row>
    <row r="302" ht="13" customHeight="1" s="51">
      <c r="G302" s="16" t="n"/>
    </row>
    <row r="303" ht="13" customHeight="1" s="51">
      <c r="G303" s="16" t="n"/>
    </row>
    <row r="304" ht="13" customHeight="1" s="51">
      <c r="G304" s="16" t="n"/>
    </row>
    <row r="305" ht="13" customHeight="1" s="51">
      <c r="G305" s="16" t="n"/>
    </row>
    <row r="306" ht="13" customHeight="1" s="51">
      <c r="G306" s="16" t="n"/>
    </row>
    <row r="307" ht="13" customHeight="1" s="51">
      <c r="G307" s="16" t="n"/>
    </row>
    <row r="308" ht="13" customHeight="1" s="51">
      <c r="G308" s="16" t="n"/>
    </row>
    <row r="309" ht="13" customHeight="1" s="51">
      <c r="G309" s="16" t="n"/>
    </row>
    <row r="310" ht="13" customHeight="1" s="51">
      <c r="G310" s="16" t="n"/>
    </row>
    <row r="311" ht="13" customHeight="1" s="51">
      <c r="G311" s="16" t="n"/>
    </row>
    <row r="312" ht="13" customHeight="1" s="51">
      <c r="G312" s="16" t="n"/>
    </row>
    <row r="313" ht="13" customHeight="1" s="51">
      <c r="G313" s="16" t="n"/>
    </row>
    <row r="314" ht="13" customHeight="1" s="51">
      <c r="G314" s="16" t="n"/>
    </row>
    <row r="315" ht="13" customHeight="1" s="51">
      <c r="G315" s="16" t="n"/>
    </row>
    <row r="316" ht="13" customHeight="1" s="51">
      <c r="G316" s="16" t="n"/>
    </row>
    <row r="317" ht="13" customHeight="1" s="51">
      <c r="G317" s="16" t="n"/>
    </row>
    <row r="318" ht="13" customHeight="1" s="51">
      <c r="G318" s="16" t="n"/>
    </row>
    <row r="319" ht="13" customHeight="1" s="51">
      <c r="G319" s="16" t="n"/>
    </row>
    <row r="320" ht="13" customHeight="1" s="51">
      <c r="G320" s="16" t="n"/>
    </row>
    <row r="321" ht="13" customHeight="1" s="51">
      <c r="G321" s="16" t="n"/>
    </row>
    <row r="322" ht="13" customHeight="1" s="51">
      <c r="G322" s="16" t="n"/>
    </row>
    <row r="323" ht="13" customHeight="1" s="51">
      <c r="G323" s="16" t="n"/>
    </row>
    <row r="324" ht="13" customHeight="1" s="51">
      <c r="G324" s="16" t="n"/>
    </row>
    <row r="325" ht="13" customHeight="1" s="51">
      <c r="G325" s="16" t="n"/>
    </row>
    <row r="326" ht="13" customHeight="1" s="51">
      <c r="G326" s="16" t="n"/>
    </row>
    <row r="327" ht="13" customHeight="1" s="51">
      <c r="G327" s="16" t="n"/>
    </row>
    <row r="328" ht="13" customHeight="1" s="51">
      <c r="G328" s="16" t="n"/>
    </row>
    <row r="329" ht="13" customHeight="1" s="51">
      <c r="G329" s="16" t="n"/>
    </row>
    <row r="330" ht="13" customHeight="1" s="51">
      <c r="G330" s="16" t="n"/>
    </row>
    <row r="331" ht="13" customHeight="1" s="51">
      <c r="G331" s="16" t="n"/>
    </row>
    <row r="332" ht="13" customHeight="1" s="51">
      <c r="G332" s="16" t="n"/>
    </row>
    <row r="333" ht="13" customHeight="1" s="51">
      <c r="G333" s="16" t="n"/>
    </row>
    <row r="334" ht="13" customHeight="1" s="51">
      <c r="G334" s="16" t="n"/>
    </row>
    <row r="335" ht="13" customHeight="1" s="51">
      <c r="G335" s="16" t="n"/>
    </row>
    <row r="336" ht="13" customHeight="1" s="51">
      <c r="G336" s="16" t="n"/>
    </row>
    <row r="337" ht="13" customHeight="1" s="51">
      <c r="G337" s="16" t="n"/>
    </row>
    <row r="338" ht="13" customHeight="1" s="51">
      <c r="G338" s="16" t="n"/>
    </row>
    <row r="339" ht="13" customHeight="1" s="51">
      <c r="G339" s="16" t="n"/>
    </row>
    <row r="340" ht="13" customHeight="1" s="51">
      <c r="G340" s="16" t="n"/>
    </row>
    <row r="341" ht="13" customHeight="1" s="51">
      <c r="G341" s="16" t="n"/>
    </row>
    <row r="342" ht="13" customHeight="1" s="51">
      <c r="G342" s="16" t="n"/>
    </row>
    <row r="343" ht="13" customHeight="1" s="51">
      <c r="G343" s="16" t="n"/>
    </row>
    <row r="344" ht="13" customHeight="1" s="51">
      <c r="G344" s="16" t="n"/>
    </row>
    <row r="345" ht="13" customHeight="1" s="51">
      <c r="G345" s="16" t="n"/>
    </row>
    <row r="346" ht="13" customHeight="1" s="51">
      <c r="G346" s="16" t="n"/>
    </row>
    <row r="347" ht="13" customHeight="1" s="51">
      <c r="G347" s="16" t="n"/>
    </row>
    <row r="348" ht="13" customHeight="1" s="51">
      <c r="G348" s="16" t="n"/>
    </row>
    <row r="349" ht="13" customHeight="1" s="51">
      <c r="G349" s="16" t="n"/>
    </row>
    <row r="350" ht="13" customHeight="1" s="51">
      <c r="G350" s="16" t="n"/>
    </row>
    <row r="351" ht="13" customHeight="1" s="51">
      <c r="G351" s="16" t="n"/>
    </row>
    <row r="352" ht="13" customHeight="1" s="51">
      <c r="G352" s="16" t="n"/>
    </row>
    <row r="353" ht="13" customHeight="1" s="51">
      <c r="G353" s="16" t="n"/>
    </row>
    <row r="354" ht="13" customHeight="1" s="51">
      <c r="G354" s="16" t="n"/>
    </row>
    <row r="355" ht="13" customHeight="1" s="51">
      <c r="G355" s="16" t="n"/>
    </row>
    <row r="356" ht="13" customHeight="1" s="51">
      <c r="G356" s="16" t="n"/>
    </row>
    <row r="357" ht="13" customHeight="1" s="51">
      <c r="G357" s="16" t="n"/>
    </row>
    <row r="358" ht="13" customHeight="1" s="51">
      <c r="G358" s="16" t="n"/>
    </row>
    <row r="359" ht="13" customHeight="1" s="51">
      <c r="G359" s="16" t="n"/>
    </row>
    <row r="360" ht="13" customHeight="1" s="51">
      <c r="G360" s="16" t="n"/>
    </row>
    <row r="361" ht="13" customHeight="1" s="51">
      <c r="G361" s="16" t="n"/>
    </row>
    <row r="362" ht="13" customHeight="1" s="51">
      <c r="G362" s="16" t="n"/>
    </row>
    <row r="363" ht="13" customHeight="1" s="51">
      <c r="G363" s="16" t="n"/>
    </row>
    <row r="364" ht="13" customHeight="1" s="51">
      <c r="G364" s="16" t="n"/>
    </row>
    <row r="365" ht="13" customHeight="1" s="51">
      <c r="G365" s="16" t="n"/>
    </row>
    <row r="366" ht="13" customHeight="1" s="51">
      <c r="G366" s="16" t="n"/>
    </row>
    <row r="367" ht="13" customHeight="1" s="51">
      <c r="G367" s="16" t="n"/>
    </row>
    <row r="368" ht="13" customHeight="1" s="51">
      <c r="G368" s="16" t="n"/>
    </row>
    <row r="369" ht="13" customHeight="1" s="51">
      <c r="G369" s="16" t="n"/>
    </row>
    <row r="370" ht="13" customHeight="1" s="51">
      <c r="G370" s="16" t="n"/>
    </row>
    <row r="371" ht="13" customHeight="1" s="51">
      <c r="G371" s="16" t="n"/>
    </row>
    <row r="372" ht="13" customHeight="1" s="51">
      <c r="G372" s="16" t="n"/>
    </row>
    <row r="373" ht="13" customHeight="1" s="51">
      <c r="G373" s="16" t="n"/>
    </row>
    <row r="374" ht="13" customHeight="1" s="51">
      <c r="G374" s="16" t="n"/>
    </row>
    <row r="375" ht="13" customHeight="1" s="51">
      <c r="G375" s="16" t="n"/>
    </row>
    <row r="376" ht="13" customHeight="1" s="51">
      <c r="G376" s="16" t="n"/>
    </row>
    <row r="377" ht="13" customHeight="1" s="51">
      <c r="G377" s="16" t="n"/>
    </row>
    <row r="378" ht="13" customHeight="1" s="51">
      <c r="G378" s="16" t="n"/>
    </row>
    <row r="379" ht="13" customHeight="1" s="51">
      <c r="G379" s="16" t="n"/>
    </row>
    <row r="380" ht="13" customHeight="1" s="51">
      <c r="G380" s="16" t="n"/>
    </row>
    <row r="381" ht="13" customHeight="1" s="51">
      <c r="G381" s="16" t="n"/>
    </row>
    <row r="382" ht="13" customHeight="1" s="51">
      <c r="G382" s="16" t="n"/>
    </row>
    <row r="383" ht="13" customHeight="1" s="51">
      <c r="G383" s="16" t="n"/>
    </row>
    <row r="384" ht="13" customHeight="1" s="51">
      <c r="G384" s="16" t="n"/>
    </row>
    <row r="385" ht="13" customHeight="1" s="51">
      <c r="G385" s="16" t="n"/>
    </row>
    <row r="386" ht="13" customHeight="1" s="51">
      <c r="G386" s="16" t="n"/>
    </row>
    <row r="387" ht="13" customHeight="1" s="51">
      <c r="G387" s="16" t="n"/>
    </row>
    <row r="388" ht="13" customHeight="1" s="51">
      <c r="G388" s="16" t="n"/>
    </row>
    <row r="389" ht="13" customHeight="1" s="51">
      <c r="G389" s="16" t="n"/>
    </row>
    <row r="390" ht="13" customHeight="1" s="51">
      <c r="G390" s="16" t="n"/>
    </row>
    <row r="391" ht="13" customHeight="1" s="51">
      <c r="G391" s="16" t="n"/>
    </row>
    <row r="392" ht="13" customHeight="1" s="51">
      <c r="G392" s="16" t="n"/>
    </row>
    <row r="393" ht="13" customHeight="1" s="51">
      <c r="G393" s="16" t="n"/>
    </row>
    <row r="394" ht="13" customHeight="1" s="51">
      <c r="G394" s="16" t="n"/>
    </row>
    <row r="395" ht="13" customHeight="1" s="51">
      <c r="G395" s="16" t="n"/>
    </row>
    <row r="396" ht="13" customHeight="1" s="51">
      <c r="G396" s="16" t="n"/>
    </row>
    <row r="397" ht="13" customHeight="1" s="51">
      <c r="G397" s="16" t="n"/>
    </row>
    <row r="398" ht="13" customHeight="1" s="51">
      <c r="G398" s="16" t="n"/>
    </row>
    <row r="399" ht="13" customHeight="1" s="51">
      <c r="G399" s="16" t="n"/>
    </row>
    <row r="400" ht="13" customHeight="1" s="51">
      <c r="G400" s="16" t="n"/>
    </row>
    <row r="401" ht="13" customHeight="1" s="51">
      <c r="G401" s="16" t="n"/>
    </row>
    <row r="402" ht="13" customHeight="1" s="51">
      <c r="G402" s="16" t="n"/>
    </row>
    <row r="403" ht="13" customHeight="1" s="51">
      <c r="G403" s="16" t="n"/>
    </row>
    <row r="404" ht="13" customHeight="1" s="51">
      <c r="G404" s="16" t="n"/>
    </row>
    <row r="405" ht="13" customHeight="1" s="51">
      <c r="G405" s="16" t="n"/>
    </row>
    <row r="406" ht="13" customHeight="1" s="51">
      <c r="G406" s="16" t="n"/>
    </row>
    <row r="407" ht="13" customHeight="1" s="51">
      <c r="G407" s="16" t="n"/>
    </row>
    <row r="408" ht="13" customHeight="1" s="51">
      <c r="G408" s="16" t="n"/>
    </row>
    <row r="409" ht="13" customHeight="1" s="51">
      <c r="G409" s="16" t="n"/>
    </row>
    <row r="410" ht="13" customHeight="1" s="51">
      <c r="G410" s="16" t="n"/>
    </row>
    <row r="411" ht="13" customHeight="1" s="51">
      <c r="G411" s="16" t="n"/>
    </row>
    <row r="412" ht="13" customHeight="1" s="51">
      <c r="G412" s="16" t="n"/>
    </row>
    <row r="413" ht="13" customHeight="1" s="51">
      <c r="G413" s="16" t="n"/>
    </row>
    <row r="414" ht="13" customHeight="1" s="51">
      <c r="G414" s="16" t="n"/>
    </row>
    <row r="415" ht="13" customHeight="1" s="51">
      <c r="G415" s="16" t="n"/>
    </row>
    <row r="416" ht="13" customHeight="1" s="51">
      <c r="G416" s="16" t="n"/>
    </row>
    <row r="417" ht="13" customHeight="1" s="51">
      <c r="G417" s="16" t="n"/>
    </row>
    <row r="418" ht="13" customHeight="1" s="51">
      <c r="G418" s="16" t="n"/>
    </row>
    <row r="419" ht="13" customHeight="1" s="51">
      <c r="G419" s="16" t="n"/>
    </row>
    <row r="420" ht="13" customHeight="1" s="51">
      <c r="G420" s="16" t="n"/>
    </row>
    <row r="421" ht="13" customHeight="1" s="51">
      <c r="G421" s="16" t="n"/>
    </row>
    <row r="422" ht="13" customHeight="1" s="51">
      <c r="G422" s="16" t="n"/>
    </row>
    <row r="423" ht="13" customHeight="1" s="51">
      <c r="G423" s="16" t="n"/>
    </row>
    <row r="424" ht="13" customHeight="1" s="51">
      <c r="G424" s="16" t="n"/>
    </row>
    <row r="425" ht="13" customHeight="1" s="51">
      <c r="G425" s="16" t="n"/>
    </row>
    <row r="426" ht="13" customHeight="1" s="51">
      <c r="G426" s="16" t="n"/>
    </row>
    <row r="427" ht="13" customHeight="1" s="51">
      <c r="G427" s="16" t="n"/>
    </row>
    <row r="428" ht="13" customHeight="1" s="51">
      <c r="G428" s="16" t="n"/>
    </row>
    <row r="429" ht="13" customHeight="1" s="51">
      <c r="G429" s="16" t="n"/>
    </row>
    <row r="430" ht="13" customHeight="1" s="51">
      <c r="G430" s="16" t="n"/>
    </row>
    <row r="431" ht="13" customHeight="1" s="51">
      <c r="G431" s="16" t="n"/>
    </row>
    <row r="432" ht="13" customHeight="1" s="51">
      <c r="G432" s="16" t="n"/>
    </row>
    <row r="433" ht="13" customHeight="1" s="51">
      <c r="G433" s="16" t="n"/>
    </row>
    <row r="434" ht="13" customHeight="1" s="51">
      <c r="G434" s="16" t="n"/>
    </row>
    <row r="435" ht="13" customHeight="1" s="51">
      <c r="G435" s="16" t="n"/>
    </row>
    <row r="436" ht="13" customHeight="1" s="51">
      <c r="G436" s="16" t="n"/>
    </row>
    <row r="437" ht="13" customHeight="1" s="51">
      <c r="G437" s="16" t="n"/>
    </row>
    <row r="438" ht="13" customHeight="1" s="51">
      <c r="G438" s="16" t="n"/>
    </row>
    <row r="439" ht="13" customHeight="1" s="51">
      <c r="G439" s="16" t="n"/>
    </row>
    <row r="440" ht="13" customHeight="1" s="51">
      <c r="G440" s="16" t="n"/>
    </row>
    <row r="441" ht="13" customHeight="1" s="51">
      <c r="G441" s="16" t="n"/>
    </row>
    <row r="442" ht="13" customHeight="1" s="51">
      <c r="G442" s="16" t="n"/>
    </row>
    <row r="443" ht="13" customHeight="1" s="51">
      <c r="G443" s="16" t="n"/>
    </row>
    <row r="444" ht="13" customHeight="1" s="51">
      <c r="G444" s="16" t="n"/>
    </row>
    <row r="445" ht="13" customHeight="1" s="51">
      <c r="G445" s="16" t="n"/>
    </row>
    <row r="446" ht="13" customHeight="1" s="51">
      <c r="G446" s="16" t="n"/>
    </row>
    <row r="447" ht="13" customHeight="1" s="51">
      <c r="G447" s="16" t="n"/>
    </row>
    <row r="448" ht="13" customHeight="1" s="51">
      <c r="G448" s="16" t="n"/>
    </row>
    <row r="449" ht="13" customHeight="1" s="51">
      <c r="G449" s="16" t="n"/>
    </row>
    <row r="450" ht="13" customHeight="1" s="51">
      <c r="G450" s="16" t="n"/>
    </row>
    <row r="451" ht="13" customHeight="1" s="51">
      <c r="G451" s="16" t="n"/>
    </row>
    <row r="452" ht="13" customHeight="1" s="51">
      <c r="G452" s="16" t="n"/>
    </row>
    <row r="453" ht="13" customHeight="1" s="51">
      <c r="G453" s="16" t="n"/>
    </row>
    <row r="454" ht="13" customHeight="1" s="51">
      <c r="G454" s="16" t="n"/>
    </row>
    <row r="455" ht="13" customHeight="1" s="51">
      <c r="G455" s="16" t="n"/>
    </row>
    <row r="456" ht="13" customHeight="1" s="51">
      <c r="G456" s="16" t="n"/>
    </row>
    <row r="457" ht="13" customHeight="1" s="51">
      <c r="G457" s="16" t="n"/>
    </row>
    <row r="458" ht="13" customHeight="1" s="51">
      <c r="G458" s="16" t="n"/>
    </row>
    <row r="459" ht="13" customHeight="1" s="51">
      <c r="G459" s="16" t="n"/>
    </row>
    <row r="460" ht="13" customHeight="1" s="51">
      <c r="G460" s="16" t="n"/>
    </row>
    <row r="461" ht="13" customHeight="1" s="51">
      <c r="G461" s="16" t="n"/>
    </row>
    <row r="462" ht="13" customHeight="1" s="51">
      <c r="G462" s="16" t="n"/>
    </row>
    <row r="463" ht="13" customHeight="1" s="51">
      <c r="G463" s="16" t="n"/>
    </row>
    <row r="464" ht="13" customHeight="1" s="51">
      <c r="G464" s="16" t="n"/>
    </row>
    <row r="465" ht="13" customHeight="1" s="51">
      <c r="G465" s="16" t="n"/>
    </row>
    <row r="466" ht="13" customHeight="1" s="51">
      <c r="G466" s="16" t="n"/>
    </row>
    <row r="467" ht="13" customHeight="1" s="51">
      <c r="G467" s="16" t="n"/>
    </row>
    <row r="468" ht="13" customHeight="1" s="51">
      <c r="G468" s="16" t="n"/>
    </row>
    <row r="469" ht="13" customHeight="1" s="51">
      <c r="G469" s="16" t="n"/>
    </row>
    <row r="470" ht="13" customHeight="1" s="51">
      <c r="G470" s="16" t="n"/>
    </row>
    <row r="471" ht="13" customHeight="1" s="51">
      <c r="G471" s="16" t="n"/>
    </row>
    <row r="472" ht="13" customHeight="1" s="51">
      <c r="G472" s="16" t="n"/>
    </row>
    <row r="473" ht="13" customHeight="1" s="51">
      <c r="G473" s="16" t="n"/>
    </row>
    <row r="474" ht="13" customHeight="1" s="51">
      <c r="G474" s="16" t="n"/>
    </row>
    <row r="475" ht="13" customHeight="1" s="51">
      <c r="G475" s="16" t="n"/>
    </row>
    <row r="476" ht="13" customHeight="1" s="51">
      <c r="G476" s="16" t="n"/>
    </row>
    <row r="477" ht="13" customHeight="1" s="51">
      <c r="G477" s="16" t="n"/>
    </row>
    <row r="478" ht="13" customHeight="1" s="51">
      <c r="G478" s="16" t="n"/>
    </row>
    <row r="479" ht="13" customHeight="1" s="51">
      <c r="G479" s="16" t="n"/>
    </row>
    <row r="480" ht="13" customHeight="1" s="51">
      <c r="G480" s="16" t="n"/>
    </row>
    <row r="481" ht="13" customHeight="1" s="51">
      <c r="G481" s="16" t="n"/>
    </row>
    <row r="482" ht="13" customHeight="1" s="51">
      <c r="G482" s="16" t="n"/>
    </row>
    <row r="483" ht="13" customHeight="1" s="51">
      <c r="G483" s="16" t="n"/>
    </row>
    <row r="484" ht="13" customHeight="1" s="51">
      <c r="G484" s="16" t="n"/>
    </row>
    <row r="485" ht="13" customHeight="1" s="51">
      <c r="G485" s="16" t="n"/>
    </row>
    <row r="486" ht="13" customHeight="1" s="51">
      <c r="G486" s="16" t="n"/>
    </row>
    <row r="487" ht="13" customHeight="1" s="51">
      <c r="G487" s="16" t="n"/>
    </row>
    <row r="488" ht="13" customHeight="1" s="51">
      <c r="G488" s="16" t="n"/>
    </row>
    <row r="489" ht="13" customHeight="1" s="51">
      <c r="G489" s="16" t="n"/>
    </row>
    <row r="490" ht="13" customHeight="1" s="51">
      <c r="G490" s="16" t="n"/>
    </row>
    <row r="491" ht="13" customHeight="1" s="51">
      <c r="G491" s="16" t="n"/>
    </row>
    <row r="492" ht="13" customHeight="1" s="51">
      <c r="G492" s="16" t="n"/>
    </row>
    <row r="493" ht="13" customHeight="1" s="51">
      <c r="G493" s="16" t="n"/>
    </row>
    <row r="494" ht="13" customHeight="1" s="51">
      <c r="G494" s="16" t="n"/>
    </row>
    <row r="495" ht="13" customHeight="1" s="51">
      <c r="G495" s="16" t="n"/>
    </row>
    <row r="496" ht="13" customHeight="1" s="51">
      <c r="G496" s="16" t="n"/>
    </row>
    <row r="497" ht="13" customHeight="1" s="51">
      <c r="G497" s="16" t="n"/>
    </row>
    <row r="498" ht="13" customHeight="1" s="51">
      <c r="G498" s="16" t="n"/>
    </row>
    <row r="499" ht="13" customHeight="1" s="51">
      <c r="G499" s="16" t="n"/>
    </row>
    <row r="500" ht="13" customHeight="1" s="51">
      <c r="G500" s="16" t="n"/>
    </row>
    <row r="501" ht="13" customHeight="1" s="51">
      <c r="G501" s="16" t="n"/>
    </row>
    <row r="502" ht="13" customHeight="1" s="51">
      <c r="G502" s="16" t="n"/>
    </row>
    <row r="503" ht="13" customHeight="1" s="51">
      <c r="G503" s="16" t="n"/>
    </row>
    <row r="504" ht="13" customHeight="1" s="51">
      <c r="G504" s="16" t="n"/>
    </row>
    <row r="505" ht="13" customHeight="1" s="51">
      <c r="G505" s="16" t="n"/>
    </row>
    <row r="506" ht="13" customHeight="1" s="51">
      <c r="G506" s="16" t="n"/>
    </row>
    <row r="507" ht="13" customHeight="1" s="51">
      <c r="G507" s="16" t="n"/>
    </row>
    <row r="508" ht="13" customHeight="1" s="51">
      <c r="G508" s="16" t="n"/>
    </row>
    <row r="509" ht="13" customHeight="1" s="51">
      <c r="G509" s="16" t="n"/>
    </row>
    <row r="510" ht="13" customHeight="1" s="51">
      <c r="G510" s="16" t="n"/>
    </row>
    <row r="511" ht="13" customHeight="1" s="51">
      <c r="G511" s="16" t="n"/>
    </row>
    <row r="512" ht="13" customHeight="1" s="51">
      <c r="G512" s="16" t="n"/>
    </row>
    <row r="513" ht="13" customHeight="1" s="51">
      <c r="G513" s="16" t="n"/>
    </row>
    <row r="514" ht="13" customHeight="1" s="51">
      <c r="G514" s="16" t="n"/>
    </row>
    <row r="515" ht="13" customHeight="1" s="51">
      <c r="G515" s="16" t="n"/>
    </row>
    <row r="516" ht="13" customHeight="1" s="51">
      <c r="G516" s="16" t="n"/>
    </row>
    <row r="517" ht="13" customHeight="1" s="51">
      <c r="G517" s="16" t="n"/>
    </row>
    <row r="518" ht="13" customHeight="1" s="51">
      <c r="G518" s="16" t="n"/>
    </row>
    <row r="519" ht="13" customHeight="1" s="51">
      <c r="G519" s="16" t="n"/>
    </row>
    <row r="520" ht="13" customHeight="1" s="51">
      <c r="G520" s="16" t="n"/>
    </row>
    <row r="521" ht="13" customHeight="1" s="51">
      <c r="G521" s="16" t="n"/>
    </row>
    <row r="522" ht="13" customHeight="1" s="51">
      <c r="G522" s="16" t="n"/>
    </row>
    <row r="523" ht="13" customHeight="1" s="51">
      <c r="G523" s="16" t="n"/>
    </row>
    <row r="524" ht="13" customHeight="1" s="51">
      <c r="G524" s="16" t="n"/>
    </row>
    <row r="525" ht="13" customHeight="1" s="51">
      <c r="G525" s="16" t="n"/>
    </row>
    <row r="526" ht="13" customHeight="1" s="51">
      <c r="G526" s="16" t="n"/>
    </row>
    <row r="527" ht="13" customHeight="1" s="51">
      <c r="G527" s="16" t="n"/>
    </row>
    <row r="528" ht="13" customHeight="1" s="51">
      <c r="G528" s="16" t="n"/>
    </row>
    <row r="529" ht="13" customHeight="1" s="51">
      <c r="G529" s="16" t="n"/>
    </row>
    <row r="530" ht="13" customHeight="1" s="51">
      <c r="G530" s="16" t="n"/>
    </row>
    <row r="531" ht="13" customHeight="1" s="51">
      <c r="G531" s="16" t="n"/>
    </row>
    <row r="532" ht="13" customHeight="1" s="51">
      <c r="G532" s="16" t="n"/>
    </row>
    <row r="533" ht="13" customHeight="1" s="51">
      <c r="G533" s="16" t="n"/>
    </row>
    <row r="534" ht="13" customHeight="1" s="51">
      <c r="G534" s="16" t="n"/>
    </row>
    <row r="535" ht="13" customHeight="1" s="51">
      <c r="G535" s="16" t="n"/>
    </row>
    <row r="536" ht="13" customHeight="1" s="51">
      <c r="G536" s="16" t="n"/>
    </row>
    <row r="537" ht="13" customHeight="1" s="51">
      <c r="G537" s="16" t="n"/>
    </row>
    <row r="538" ht="13" customHeight="1" s="51">
      <c r="G538" s="16" t="n"/>
    </row>
    <row r="539" ht="13" customHeight="1" s="51">
      <c r="G539" s="16" t="n"/>
    </row>
    <row r="540" ht="13" customHeight="1" s="51">
      <c r="G540" s="16" t="n"/>
    </row>
    <row r="541" ht="13" customHeight="1" s="51">
      <c r="G541" s="16" t="n"/>
    </row>
    <row r="542" ht="13" customHeight="1" s="51">
      <c r="G542" s="16" t="n"/>
    </row>
    <row r="543" ht="13" customHeight="1" s="51">
      <c r="G543" s="16" t="n"/>
    </row>
    <row r="544" ht="13" customHeight="1" s="51">
      <c r="G544" s="16" t="n"/>
    </row>
    <row r="545" ht="13" customHeight="1" s="51">
      <c r="G545" s="16" t="n"/>
    </row>
    <row r="546" ht="13" customHeight="1" s="51">
      <c r="G546" s="16" t="n"/>
    </row>
    <row r="547" ht="13" customHeight="1" s="51">
      <c r="G547" s="16" t="n"/>
    </row>
    <row r="548" ht="13" customHeight="1" s="51">
      <c r="G548" s="16" t="n"/>
    </row>
    <row r="549" ht="13" customHeight="1" s="51">
      <c r="G549" s="16" t="n"/>
    </row>
    <row r="550" ht="13" customHeight="1" s="51">
      <c r="G550" s="16" t="n"/>
    </row>
    <row r="551" ht="13" customHeight="1" s="51">
      <c r="G551" s="16" t="n"/>
    </row>
    <row r="552" ht="13" customHeight="1" s="51">
      <c r="G552" s="16" t="n"/>
    </row>
    <row r="553" ht="13" customHeight="1" s="51">
      <c r="G553" s="16" t="n"/>
    </row>
    <row r="554" ht="13" customHeight="1" s="51">
      <c r="G554" s="16" t="n"/>
    </row>
    <row r="555" ht="13" customHeight="1" s="51">
      <c r="G555" s="16" t="n"/>
    </row>
    <row r="556" ht="13" customHeight="1" s="51">
      <c r="G556" s="16" t="n"/>
    </row>
    <row r="557" ht="13" customHeight="1" s="51">
      <c r="G557" s="16" t="n"/>
    </row>
    <row r="558" ht="13" customHeight="1" s="51">
      <c r="G558" s="16" t="n"/>
    </row>
    <row r="559" ht="13" customHeight="1" s="51">
      <c r="G559" s="16" t="n"/>
    </row>
    <row r="560" ht="13" customHeight="1" s="51">
      <c r="G560" s="16" t="n"/>
    </row>
    <row r="561" ht="13" customHeight="1" s="51">
      <c r="G561" s="16" t="n"/>
    </row>
    <row r="562" ht="13" customHeight="1" s="51">
      <c r="G562" s="16" t="n"/>
    </row>
    <row r="563" ht="13" customHeight="1" s="51">
      <c r="G563" s="16" t="n"/>
    </row>
    <row r="564" ht="13" customHeight="1" s="51">
      <c r="G564" s="16" t="n"/>
    </row>
    <row r="565" ht="13" customHeight="1" s="51">
      <c r="G565" s="16" t="n"/>
    </row>
    <row r="566" ht="13" customHeight="1" s="51">
      <c r="G566" s="16" t="n"/>
    </row>
    <row r="567" ht="13" customHeight="1" s="51">
      <c r="G567" s="16" t="n"/>
    </row>
    <row r="568" ht="13" customHeight="1" s="51">
      <c r="G568" s="16" t="n"/>
    </row>
    <row r="569" ht="13" customHeight="1" s="51">
      <c r="G569" s="16" t="n"/>
    </row>
    <row r="570" ht="13" customHeight="1" s="51">
      <c r="G570" s="16" t="n"/>
    </row>
    <row r="571" ht="13" customHeight="1" s="51">
      <c r="G571" s="16" t="n"/>
    </row>
    <row r="572" ht="13" customHeight="1" s="51">
      <c r="G572" s="16" t="n"/>
    </row>
    <row r="573" ht="13" customHeight="1" s="51">
      <c r="G573" s="16" t="n"/>
    </row>
    <row r="574" ht="13" customHeight="1" s="51">
      <c r="G574" s="16" t="n"/>
    </row>
    <row r="575" ht="13" customHeight="1" s="51">
      <c r="G575" s="16" t="n"/>
    </row>
    <row r="576" ht="13" customHeight="1" s="51">
      <c r="G576" s="16" t="n"/>
    </row>
    <row r="577" ht="13" customHeight="1" s="51">
      <c r="G577" s="16" t="n"/>
    </row>
    <row r="578" ht="13" customHeight="1" s="51">
      <c r="G578" s="16" t="n"/>
    </row>
    <row r="579" ht="13" customHeight="1" s="51">
      <c r="G579" s="16" t="n"/>
    </row>
    <row r="580" ht="13" customHeight="1" s="51">
      <c r="G580" s="16" t="n"/>
    </row>
    <row r="581" ht="13" customHeight="1" s="51">
      <c r="G581" s="16" t="n"/>
    </row>
    <row r="582" ht="13" customHeight="1" s="51">
      <c r="G582" s="16" t="n"/>
    </row>
    <row r="583" ht="13" customHeight="1" s="51">
      <c r="G583" s="16" t="n"/>
    </row>
    <row r="584" ht="13" customHeight="1" s="51">
      <c r="G584" s="16" t="n"/>
    </row>
    <row r="585" ht="13" customHeight="1" s="51">
      <c r="G585" s="16" t="n"/>
    </row>
    <row r="586" ht="13" customHeight="1" s="51">
      <c r="G586" s="16" t="n"/>
    </row>
    <row r="587" ht="13" customHeight="1" s="51">
      <c r="G587" s="16" t="n"/>
    </row>
    <row r="588" ht="13" customHeight="1" s="51">
      <c r="G588" s="16" t="n"/>
    </row>
    <row r="589" ht="13" customHeight="1" s="51">
      <c r="G589" s="16" t="n"/>
    </row>
    <row r="590" ht="13" customHeight="1" s="51">
      <c r="G590" s="16" t="n"/>
    </row>
    <row r="591" ht="13" customHeight="1" s="51">
      <c r="G591" s="16" t="n"/>
    </row>
    <row r="592" ht="13" customHeight="1" s="51">
      <c r="G592" s="16" t="n"/>
    </row>
    <row r="593" ht="13" customHeight="1" s="51">
      <c r="G593" s="16" t="n"/>
    </row>
    <row r="594" ht="13" customHeight="1" s="51">
      <c r="G594" s="16" t="n"/>
    </row>
    <row r="595" ht="13" customHeight="1" s="51">
      <c r="G595" s="16" t="n"/>
    </row>
    <row r="596" ht="13" customHeight="1" s="51">
      <c r="G596" s="16" t="n"/>
    </row>
    <row r="597" ht="13" customHeight="1" s="51">
      <c r="G597" s="16" t="n"/>
    </row>
    <row r="598" ht="13" customHeight="1" s="51">
      <c r="G598" s="16" t="n"/>
    </row>
    <row r="599" ht="13" customHeight="1" s="51">
      <c r="G599" s="16" t="n"/>
    </row>
    <row r="600" ht="13" customHeight="1" s="51">
      <c r="G600" s="16" t="n"/>
    </row>
    <row r="601" ht="13" customHeight="1" s="51">
      <c r="G601" s="16" t="n"/>
    </row>
    <row r="602" ht="13" customHeight="1" s="51">
      <c r="G602" s="16" t="n"/>
    </row>
    <row r="603" ht="13" customHeight="1" s="51">
      <c r="G603" s="16" t="n"/>
    </row>
    <row r="604" ht="13" customHeight="1" s="51">
      <c r="G604" s="16" t="n"/>
    </row>
    <row r="605" ht="13" customHeight="1" s="51">
      <c r="G605" s="16" t="n"/>
    </row>
    <row r="606" ht="13" customHeight="1" s="51">
      <c r="G606" s="16" t="n"/>
    </row>
    <row r="607" ht="13" customHeight="1" s="51">
      <c r="G607" s="16" t="n"/>
    </row>
    <row r="608" ht="13" customHeight="1" s="51">
      <c r="G608" s="16" t="n"/>
    </row>
    <row r="609" ht="13" customHeight="1" s="51">
      <c r="G609" s="16" t="n"/>
    </row>
    <row r="610" ht="13" customHeight="1" s="51">
      <c r="G610" s="16" t="n"/>
    </row>
    <row r="611" ht="13" customHeight="1" s="51">
      <c r="G611" s="16" t="n"/>
    </row>
    <row r="612" ht="13" customHeight="1" s="51">
      <c r="G612" s="16" t="n"/>
    </row>
    <row r="613" ht="13" customHeight="1" s="51">
      <c r="G613" s="16" t="n"/>
    </row>
    <row r="614" ht="13" customHeight="1" s="51">
      <c r="G614" s="16" t="n"/>
    </row>
    <row r="615" ht="13" customHeight="1" s="51">
      <c r="G615" s="16" t="n"/>
    </row>
    <row r="616" ht="13" customHeight="1" s="51">
      <c r="G616" s="16" t="n"/>
    </row>
    <row r="617" ht="13" customHeight="1" s="51">
      <c r="G617" s="16" t="n"/>
    </row>
    <row r="618" ht="13" customHeight="1" s="51">
      <c r="G618" s="16" t="n"/>
    </row>
    <row r="619" ht="13" customHeight="1" s="51">
      <c r="G619" s="16" t="n"/>
    </row>
    <row r="620" ht="13" customHeight="1" s="51">
      <c r="G620" s="16" t="n"/>
    </row>
    <row r="621" ht="13" customHeight="1" s="51">
      <c r="G621" s="16" t="n"/>
    </row>
    <row r="622" ht="13" customHeight="1" s="51">
      <c r="G622" s="16" t="n"/>
    </row>
    <row r="623" ht="13" customHeight="1" s="51">
      <c r="G623" s="16" t="n"/>
    </row>
    <row r="624" ht="13" customHeight="1" s="51">
      <c r="G624" s="16" t="n"/>
    </row>
    <row r="625" ht="13" customHeight="1" s="51">
      <c r="G625" s="16" t="n"/>
    </row>
    <row r="626" ht="13" customHeight="1" s="51">
      <c r="G626" s="16" t="n"/>
    </row>
    <row r="627" ht="13" customHeight="1" s="51">
      <c r="G627" s="16" t="n"/>
    </row>
    <row r="628" ht="13" customHeight="1" s="51">
      <c r="G628" s="16" t="n"/>
    </row>
    <row r="629" ht="13" customHeight="1" s="51">
      <c r="G629" s="16" t="n"/>
    </row>
    <row r="630" ht="13" customHeight="1" s="51">
      <c r="G630" s="16" t="n"/>
    </row>
    <row r="631" ht="13" customHeight="1" s="51">
      <c r="G631" s="16" t="n"/>
    </row>
    <row r="632" ht="13" customHeight="1" s="51">
      <c r="G632" s="16" t="n"/>
    </row>
    <row r="633" ht="13" customHeight="1" s="51">
      <c r="G633" s="16" t="n"/>
    </row>
    <row r="634" ht="13" customHeight="1" s="51">
      <c r="G634" s="16" t="n"/>
    </row>
    <row r="635" ht="13" customHeight="1" s="51">
      <c r="G635" s="16" t="n"/>
    </row>
    <row r="636" ht="13" customHeight="1" s="51">
      <c r="G636" s="16" t="n"/>
    </row>
    <row r="637" ht="13" customHeight="1" s="51">
      <c r="G637" s="16" t="n"/>
    </row>
    <row r="638" ht="13" customHeight="1" s="51">
      <c r="G638" s="16" t="n"/>
    </row>
    <row r="639" ht="13" customHeight="1" s="51">
      <c r="G639" s="16" t="n"/>
    </row>
    <row r="640" ht="13" customHeight="1" s="51">
      <c r="G640" s="16" t="n"/>
    </row>
    <row r="641" ht="13" customHeight="1" s="51">
      <c r="G641" s="16" t="n"/>
    </row>
    <row r="642" ht="13" customHeight="1" s="51">
      <c r="G642" s="16" t="n"/>
    </row>
    <row r="643" ht="13" customHeight="1" s="51">
      <c r="G643" s="16" t="n"/>
    </row>
    <row r="644" ht="13" customHeight="1" s="51">
      <c r="G644" s="16" t="n"/>
    </row>
    <row r="645" ht="13" customHeight="1" s="51">
      <c r="G645" s="16" t="n"/>
    </row>
    <row r="646" ht="13" customHeight="1" s="51">
      <c r="G646" s="16" t="n"/>
    </row>
    <row r="647" ht="13" customHeight="1" s="51">
      <c r="G647" s="16" t="n"/>
    </row>
    <row r="648" ht="13" customHeight="1" s="51">
      <c r="G648" s="16" t="n"/>
    </row>
    <row r="649" ht="13" customHeight="1" s="51">
      <c r="G649" s="16" t="n"/>
    </row>
    <row r="650" ht="13" customHeight="1" s="51">
      <c r="G650" s="16" t="n"/>
    </row>
    <row r="651" ht="13" customHeight="1" s="51">
      <c r="G651" s="16" t="n"/>
    </row>
    <row r="652" ht="13" customHeight="1" s="51">
      <c r="G652" s="16" t="n"/>
    </row>
    <row r="653" ht="13" customHeight="1" s="51">
      <c r="G653" s="16" t="n"/>
    </row>
    <row r="654" ht="13" customHeight="1" s="51">
      <c r="G654" s="16" t="n"/>
    </row>
    <row r="655" ht="13" customHeight="1" s="51">
      <c r="G655" s="16" t="n"/>
    </row>
    <row r="656" ht="13" customHeight="1" s="51">
      <c r="G656" s="16" t="n"/>
    </row>
    <row r="657" ht="13" customHeight="1" s="51">
      <c r="G657" s="16" t="n"/>
    </row>
    <row r="658" ht="13" customHeight="1" s="51">
      <c r="G658" s="16" t="n"/>
    </row>
    <row r="659" ht="13" customHeight="1" s="51">
      <c r="G659" s="16" t="n"/>
    </row>
    <row r="660" ht="13" customHeight="1" s="51">
      <c r="G660" s="16" t="n"/>
    </row>
    <row r="661" ht="13" customHeight="1" s="51">
      <c r="G661" s="16" t="n"/>
    </row>
    <row r="662" ht="13" customHeight="1" s="51">
      <c r="G662" s="16" t="n"/>
    </row>
    <row r="663" ht="13" customHeight="1" s="51">
      <c r="G663" s="16" t="n"/>
    </row>
    <row r="664" ht="13" customHeight="1" s="51">
      <c r="G664" s="16" t="n"/>
    </row>
    <row r="665" ht="13" customHeight="1" s="51">
      <c r="G665" s="16" t="n"/>
    </row>
    <row r="666" ht="13" customHeight="1" s="51">
      <c r="G666" s="16" t="n"/>
    </row>
    <row r="667" ht="13" customHeight="1" s="51">
      <c r="G667" s="16" t="n"/>
    </row>
    <row r="668" ht="13" customHeight="1" s="51">
      <c r="G668" s="16" t="n"/>
    </row>
    <row r="669" ht="13" customHeight="1" s="51">
      <c r="G669" s="16" t="n"/>
    </row>
    <row r="670" ht="13" customHeight="1" s="51">
      <c r="G670" s="16" t="n"/>
    </row>
    <row r="671" ht="13" customHeight="1" s="51">
      <c r="G671" s="16" t="n"/>
    </row>
    <row r="672" ht="13" customHeight="1" s="51">
      <c r="G672" s="16" t="n"/>
    </row>
    <row r="673" ht="13" customHeight="1" s="51">
      <c r="G673" s="16" t="n"/>
    </row>
    <row r="674" ht="13" customHeight="1" s="51">
      <c r="G674" s="16" t="n"/>
    </row>
    <row r="675" ht="13" customHeight="1" s="51">
      <c r="G675" s="16" t="n"/>
    </row>
    <row r="676" ht="13" customHeight="1" s="51">
      <c r="G676" s="16" t="n"/>
    </row>
    <row r="677" ht="13" customHeight="1" s="51">
      <c r="G677" s="16" t="n"/>
    </row>
    <row r="678" ht="13" customHeight="1" s="51">
      <c r="G678" s="16" t="n"/>
    </row>
    <row r="679" ht="13" customHeight="1" s="51">
      <c r="G679" s="16" t="n"/>
    </row>
    <row r="680" ht="13" customHeight="1" s="51">
      <c r="G680" s="16" t="n"/>
    </row>
    <row r="681" ht="13" customHeight="1" s="51">
      <c r="G681" s="16" t="n"/>
    </row>
    <row r="682" ht="13" customHeight="1" s="51">
      <c r="G682" s="16" t="n"/>
    </row>
    <row r="683" ht="13" customHeight="1" s="51">
      <c r="G683" s="16" t="n"/>
    </row>
    <row r="684" ht="13" customHeight="1" s="51">
      <c r="G684" s="16" t="n"/>
    </row>
    <row r="685" ht="13" customHeight="1" s="51">
      <c r="G685" s="16" t="n"/>
    </row>
    <row r="686" ht="13" customHeight="1" s="51">
      <c r="G686" s="16" t="n"/>
    </row>
    <row r="687" ht="13" customHeight="1" s="51">
      <c r="G687" s="16" t="n"/>
    </row>
    <row r="688" ht="13" customHeight="1" s="51">
      <c r="G688" s="16" t="n"/>
    </row>
    <row r="689" ht="13" customHeight="1" s="51">
      <c r="G689" s="16" t="n"/>
    </row>
    <row r="690" ht="13" customHeight="1" s="51">
      <c r="G690" s="16" t="n"/>
    </row>
    <row r="691" ht="13" customHeight="1" s="51">
      <c r="G691" s="16" t="n"/>
    </row>
    <row r="692" ht="13" customHeight="1" s="51">
      <c r="G692" s="16" t="n"/>
    </row>
    <row r="693" ht="13" customHeight="1" s="51">
      <c r="G693" s="16" t="n"/>
    </row>
    <row r="694" ht="13" customHeight="1" s="51">
      <c r="G694" s="16" t="n"/>
    </row>
    <row r="695" ht="13" customHeight="1" s="51">
      <c r="G695" s="16" t="n"/>
    </row>
    <row r="696" ht="13" customHeight="1" s="51">
      <c r="G696" s="16" t="n"/>
    </row>
    <row r="697" ht="13" customHeight="1" s="51">
      <c r="G697" s="16" t="n"/>
    </row>
    <row r="698" ht="13" customHeight="1" s="51">
      <c r="G698" s="16" t="n"/>
    </row>
    <row r="699" ht="13" customHeight="1" s="51">
      <c r="G699" s="16" t="n"/>
    </row>
    <row r="700" ht="13" customHeight="1" s="51">
      <c r="G700" s="16" t="n"/>
    </row>
    <row r="701" ht="13" customHeight="1" s="51">
      <c r="G701" s="16" t="n"/>
    </row>
    <row r="702" ht="13" customHeight="1" s="51">
      <c r="G702" s="16" t="n"/>
    </row>
    <row r="703" ht="13" customHeight="1" s="51">
      <c r="G703" s="16" t="n"/>
    </row>
    <row r="704" ht="13" customHeight="1" s="51">
      <c r="G704" s="16" t="n"/>
    </row>
    <row r="705" ht="13" customHeight="1" s="51">
      <c r="G705" s="16" t="n"/>
    </row>
    <row r="706" ht="13" customHeight="1" s="51">
      <c r="G706" s="16" t="n"/>
    </row>
    <row r="707" ht="13" customHeight="1" s="51">
      <c r="G707" s="16" t="n"/>
    </row>
    <row r="708" ht="13" customHeight="1" s="51">
      <c r="G708" s="16" t="n"/>
    </row>
    <row r="709" ht="13" customHeight="1" s="51">
      <c r="G709" s="16" t="n"/>
    </row>
    <row r="710" ht="13" customHeight="1" s="51">
      <c r="G710" s="16" t="n"/>
    </row>
    <row r="711" ht="13" customHeight="1" s="51">
      <c r="G711" s="16" t="n"/>
    </row>
    <row r="712" ht="13" customHeight="1" s="51">
      <c r="G712" s="16" t="n"/>
    </row>
    <row r="713" ht="13" customHeight="1" s="51">
      <c r="G713" s="16" t="n"/>
    </row>
    <row r="714" ht="13" customHeight="1" s="51">
      <c r="G714" s="16" t="n"/>
    </row>
    <row r="715" ht="13" customHeight="1" s="51">
      <c r="G715" s="16" t="n"/>
    </row>
    <row r="716" ht="13" customHeight="1" s="51">
      <c r="G716" s="16" t="n"/>
    </row>
    <row r="717" ht="13" customHeight="1" s="51">
      <c r="G717" s="16" t="n"/>
    </row>
    <row r="718" ht="13" customHeight="1" s="51">
      <c r="G718" s="16" t="n"/>
    </row>
    <row r="719" ht="13" customHeight="1" s="51">
      <c r="G719" s="16" t="n"/>
    </row>
    <row r="720" ht="13" customHeight="1" s="51">
      <c r="G720" s="16" t="n"/>
    </row>
    <row r="721" ht="13" customHeight="1" s="51">
      <c r="G721" s="16" t="n"/>
    </row>
    <row r="722" ht="13" customHeight="1" s="51">
      <c r="G722" s="16" t="n"/>
    </row>
    <row r="723" ht="13" customHeight="1" s="51">
      <c r="G723" s="16" t="n"/>
    </row>
    <row r="724" ht="13" customHeight="1" s="51">
      <c r="G724" s="16" t="n"/>
    </row>
    <row r="725" ht="13" customHeight="1" s="51">
      <c r="G725" s="16" t="n"/>
    </row>
    <row r="726" ht="13" customHeight="1" s="51">
      <c r="G726" s="16" t="n"/>
    </row>
    <row r="727" ht="13" customHeight="1" s="51">
      <c r="G727" s="16" t="n"/>
    </row>
    <row r="728" ht="13" customHeight="1" s="51">
      <c r="G728" s="16" t="n"/>
    </row>
    <row r="729" ht="13" customHeight="1" s="51">
      <c r="G729" s="16" t="n"/>
    </row>
    <row r="730" ht="13" customHeight="1" s="51">
      <c r="G730" s="16" t="n"/>
    </row>
    <row r="731" ht="13" customHeight="1" s="51">
      <c r="G731" s="16" t="n"/>
    </row>
    <row r="732" ht="13" customHeight="1" s="51">
      <c r="G732" s="16" t="n"/>
    </row>
    <row r="733" ht="13" customHeight="1" s="51">
      <c r="G733" s="16" t="n"/>
    </row>
    <row r="734" ht="13" customHeight="1" s="51">
      <c r="G734" s="16" t="n"/>
    </row>
    <row r="735" ht="13" customHeight="1" s="51">
      <c r="G735" s="16" t="n"/>
    </row>
    <row r="736" ht="13" customHeight="1" s="51">
      <c r="G736" s="16" t="n"/>
    </row>
    <row r="737" ht="13" customHeight="1" s="51">
      <c r="G737" s="16" t="n"/>
    </row>
    <row r="738" ht="13" customHeight="1" s="51">
      <c r="G738" s="16" t="n"/>
    </row>
    <row r="739" ht="13" customHeight="1" s="51">
      <c r="G739" s="16" t="n"/>
    </row>
    <row r="740" ht="13" customHeight="1" s="51">
      <c r="G740" s="16" t="n"/>
    </row>
    <row r="741" ht="13" customHeight="1" s="51">
      <c r="G741" s="16" t="n"/>
    </row>
    <row r="742" ht="13" customHeight="1" s="51">
      <c r="G742" s="16" t="n"/>
    </row>
    <row r="743" ht="13" customHeight="1" s="51">
      <c r="G743" s="16" t="n"/>
    </row>
    <row r="744" ht="13" customHeight="1" s="51">
      <c r="G744" s="16" t="n"/>
    </row>
    <row r="745" ht="13" customHeight="1" s="51">
      <c r="G745" s="16" t="n"/>
    </row>
    <row r="746" ht="13" customHeight="1" s="51">
      <c r="G746" s="16" t="n"/>
    </row>
    <row r="747" ht="13" customHeight="1" s="51">
      <c r="G747" s="16" t="n"/>
    </row>
    <row r="748" ht="13" customHeight="1" s="51">
      <c r="G748" s="16" t="n"/>
    </row>
    <row r="749" ht="13" customHeight="1" s="51">
      <c r="G749" s="16" t="n"/>
    </row>
    <row r="750" ht="13" customHeight="1" s="51">
      <c r="G750" s="16" t="n"/>
    </row>
    <row r="751" ht="13" customHeight="1" s="51">
      <c r="G751" s="16" t="n"/>
    </row>
    <row r="752" ht="13" customHeight="1" s="51">
      <c r="G752" s="16" t="n"/>
    </row>
    <row r="753" ht="13" customHeight="1" s="51">
      <c r="G753" s="16" t="n"/>
    </row>
    <row r="754" ht="13" customHeight="1" s="51">
      <c r="G754" s="16" t="n"/>
    </row>
    <row r="755" ht="13" customHeight="1" s="51">
      <c r="G755" s="16" t="n"/>
    </row>
    <row r="756" ht="13" customHeight="1" s="51">
      <c r="G756" s="16" t="n"/>
    </row>
    <row r="757" ht="13" customHeight="1" s="51">
      <c r="G757" s="16" t="n"/>
    </row>
    <row r="758" ht="13" customHeight="1" s="51">
      <c r="G758" s="16" t="n"/>
    </row>
    <row r="759" ht="13" customHeight="1" s="51">
      <c r="G759" s="16" t="n"/>
    </row>
    <row r="760" ht="13" customHeight="1" s="51">
      <c r="G760" s="16" t="n"/>
    </row>
    <row r="761" ht="13" customHeight="1" s="51">
      <c r="G761" s="16" t="n"/>
    </row>
    <row r="762" ht="13" customHeight="1" s="51">
      <c r="G762" s="16" t="n"/>
    </row>
    <row r="763" ht="13" customHeight="1" s="51">
      <c r="G763" s="16" t="n"/>
    </row>
    <row r="764" ht="13" customHeight="1" s="51">
      <c r="G764" s="16" t="n"/>
    </row>
    <row r="765" ht="13" customHeight="1" s="51">
      <c r="G765" s="16" t="n"/>
    </row>
    <row r="766" ht="13" customHeight="1" s="51">
      <c r="G766" s="16" t="n"/>
    </row>
    <row r="767" ht="13" customHeight="1" s="51">
      <c r="G767" s="16" t="n"/>
    </row>
    <row r="768" ht="13" customHeight="1" s="51">
      <c r="G768" s="16" t="n"/>
    </row>
    <row r="769" ht="13" customHeight="1" s="51">
      <c r="G769" s="16" t="n"/>
    </row>
    <row r="770" ht="13" customHeight="1" s="51">
      <c r="G770" s="16" t="n"/>
    </row>
    <row r="771" ht="13" customHeight="1" s="51">
      <c r="G771" s="16" t="n"/>
    </row>
    <row r="772" ht="13" customHeight="1" s="51">
      <c r="G772" s="16" t="n"/>
    </row>
    <row r="773" ht="13" customHeight="1" s="51">
      <c r="G773" s="16" t="n"/>
    </row>
    <row r="774" ht="13" customHeight="1" s="51">
      <c r="G774" s="16" t="n"/>
    </row>
    <row r="775" ht="13" customHeight="1" s="51">
      <c r="G775" s="16" t="n"/>
    </row>
    <row r="776" ht="13" customHeight="1" s="51">
      <c r="G776" s="16" t="n"/>
    </row>
    <row r="777" ht="13" customHeight="1" s="51">
      <c r="G777" s="16" t="n"/>
    </row>
    <row r="778" ht="13" customHeight="1" s="51">
      <c r="G778" s="16" t="n"/>
    </row>
    <row r="779" ht="13" customHeight="1" s="51">
      <c r="G779" s="16" t="n"/>
    </row>
    <row r="780" ht="13" customHeight="1" s="51">
      <c r="G780" s="16" t="n"/>
    </row>
    <row r="781" ht="13" customHeight="1" s="51">
      <c r="G781" s="16" t="n"/>
    </row>
    <row r="782" ht="13" customHeight="1" s="51">
      <c r="G782" s="16" t="n"/>
    </row>
    <row r="783" ht="13" customHeight="1" s="51">
      <c r="G783" s="16" t="n"/>
    </row>
    <row r="784" ht="13" customHeight="1" s="51">
      <c r="G784" s="16" t="n"/>
    </row>
    <row r="785" ht="13" customHeight="1" s="51">
      <c r="G785" s="16" t="n"/>
    </row>
    <row r="786" ht="13" customHeight="1" s="51">
      <c r="G786" s="16" t="n"/>
    </row>
    <row r="787" ht="13" customHeight="1" s="51">
      <c r="G787" s="16" t="n"/>
    </row>
    <row r="788" ht="13" customHeight="1" s="51">
      <c r="G788" s="16" t="n"/>
    </row>
    <row r="789" ht="13" customHeight="1" s="51">
      <c r="G789" s="16" t="n"/>
    </row>
    <row r="790" ht="13" customHeight="1" s="51">
      <c r="G790" s="16" t="n"/>
    </row>
    <row r="791" ht="13" customHeight="1" s="51">
      <c r="G791" s="16" t="n"/>
    </row>
    <row r="792" ht="13" customHeight="1" s="51">
      <c r="G792" s="16" t="n"/>
    </row>
    <row r="793" ht="13" customHeight="1" s="51">
      <c r="G793" s="16" t="n"/>
    </row>
    <row r="794" ht="13" customHeight="1" s="51">
      <c r="G794" s="16" t="n"/>
    </row>
    <row r="795" ht="13" customHeight="1" s="51">
      <c r="G795" s="16" t="n"/>
    </row>
    <row r="796" ht="13" customHeight="1" s="51">
      <c r="G796" s="16" t="n"/>
    </row>
    <row r="797" ht="13" customHeight="1" s="51">
      <c r="G797" s="16" t="n"/>
    </row>
    <row r="798" ht="13" customHeight="1" s="51">
      <c r="G798" s="16" t="n"/>
    </row>
    <row r="799" ht="13" customHeight="1" s="51">
      <c r="G799" s="16" t="n"/>
    </row>
    <row r="800" ht="13" customHeight="1" s="51">
      <c r="G800" s="16" t="n"/>
    </row>
    <row r="801" ht="13" customHeight="1" s="51">
      <c r="G801" s="16" t="n"/>
    </row>
    <row r="802" ht="13" customHeight="1" s="51">
      <c r="G802" s="16" t="n"/>
    </row>
    <row r="803" ht="13" customHeight="1" s="51">
      <c r="G803" s="16" t="n"/>
    </row>
    <row r="804" ht="13" customHeight="1" s="51">
      <c r="G804" s="16" t="n"/>
    </row>
    <row r="805" ht="13" customHeight="1" s="51">
      <c r="G805" s="16" t="n"/>
    </row>
    <row r="806" ht="13" customHeight="1" s="51">
      <c r="G806" s="16" t="n"/>
    </row>
    <row r="807" ht="13" customHeight="1" s="51">
      <c r="G807" s="16" t="n"/>
    </row>
    <row r="808" ht="13" customHeight="1" s="51">
      <c r="G808" s="16" t="n"/>
    </row>
    <row r="809" ht="13" customHeight="1" s="51">
      <c r="G809" s="16" t="n"/>
    </row>
    <row r="810" ht="13" customHeight="1" s="51">
      <c r="G810" s="16" t="n"/>
    </row>
    <row r="811" ht="13" customHeight="1" s="51">
      <c r="G811" s="16" t="n"/>
    </row>
    <row r="812" ht="13" customHeight="1" s="51">
      <c r="G812" s="16" t="n"/>
    </row>
    <row r="813" ht="13" customHeight="1" s="51">
      <c r="G813" s="16" t="n"/>
    </row>
    <row r="814" ht="13" customHeight="1" s="51">
      <c r="G814" s="16" t="n"/>
    </row>
    <row r="815" ht="13" customHeight="1" s="51">
      <c r="G815" s="16" t="n"/>
    </row>
    <row r="816" ht="13" customHeight="1" s="51">
      <c r="G816" s="16" t="n"/>
    </row>
    <row r="817" ht="13" customHeight="1" s="51">
      <c r="G817" s="16" t="n"/>
    </row>
    <row r="818" ht="13" customHeight="1" s="51">
      <c r="G818" s="16" t="n"/>
    </row>
    <row r="819" ht="13" customHeight="1" s="51">
      <c r="G819" s="16" t="n"/>
    </row>
    <row r="820" ht="13" customHeight="1" s="51">
      <c r="G820" s="16" t="n"/>
    </row>
    <row r="821" ht="13" customHeight="1" s="51">
      <c r="G821" s="16" t="n"/>
    </row>
    <row r="822" ht="13" customHeight="1" s="51">
      <c r="G822" s="16" t="n"/>
    </row>
    <row r="823" ht="13" customHeight="1" s="51">
      <c r="G823" s="16" t="n"/>
    </row>
    <row r="824" ht="13" customHeight="1" s="51">
      <c r="G824" s="16" t="n"/>
    </row>
    <row r="825" ht="13" customHeight="1" s="51">
      <c r="G825" s="16" t="n"/>
    </row>
    <row r="826" ht="13" customHeight="1" s="51">
      <c r="G826" s="16" t="n"/>
    </row>
    <row r="827" ht="13" customHeight="1" s="51">
      <c r="G827" s="16" t="n"/>
    </row>
    <row r="828" ht="13" customHeight="1" s="51">
      <c r="G828" s="16" t="n"/>
    </row>
    <row r="829" ht="13" customHeight="1" s="51">
      <c r="G829" s="16" t="n"/>
    </row>
    <row r="830" ht="13" customHeight="1" s="51">
      <c r="G830" s="16" t="n"/>
    </row>
    <row r="831" ht="13" customHeight="1" s="51">
      <c r="G831" s="16" t="n"/>
    </row>
    <row r="832" ht="13" customHeight="1" s="51">
      <c r="G832" s="16" t="n"/>
    </row>
    <row r="833" ht="13" customHeight="1" s="51">
      <c r="G833" s="16" t="n"/>
    </row>
    <row r="834" ht="13" customHeight="1" s="51">
      <c r="G834" s="16" t="n"/>
    </row>
    <row r="835" ht="13" customHeight="1" s="51">
      <c r="G835" s="16" t="n"/>
    </row>
    <row r="836" ht="13" customHeight="1" s="51">
      <c r="G836" s="16" t="n"/>
    </row>
    <row r="837" ht="13" customHeight="1" s="51">
      <c r="G837" s="16" t="n"/>
    </row>
    <row r="838" ht="13" customHeight="1" s="51">
      <c r="G838" s="16" t="n"/>
    </row>
    <row r="839" ht="13" customHeight="1" s="51">
      <c r="G839" s="16" t="n"/>
    </row>
    <row r="840" ht="13" customHeight="1" s="51">
      <c r="G840" s="16" t="n"/>
    </row>
    <row r="841" ht="13" customHeight="1" s="51">
      <c r="G841" s="16" t="n"/>
    </row>
    <row r="842" ht="13" customHeight="1" s="51">
      <c r="G842" s="16" t="n"/>
    </row>
    <row r="843" ht="13" customHeight="1" s="51">
      <c r="G843" s="16" t="n"/>
    </row>
    <row r="844" ht="13" customHeight="1" s="51">
      <c r="G844" s="16" t="n"/>
    </row>
    <row r="845" ht="13" customHeight="1" s="51">
      <c r="G845" s="16" t="n"/>
    </row>
    <row r="846" ht="13" customHeight="1" s="51">
      <c r="G846" s="16" t="n"/>
    </row>
    <row r="847" ht="13" customHeight="1" s="51">
      <c r="G847" s="16" t="n"/>
    </row>
    <row r="848" ht="13" customHeight="1" s="51">
      <c r="G848" s="16" t="n"/>
    </row>
    <row r="849" ht="13" customHeight="1" s="51">
      <c r="G849" s="16" t="n"/>
    </row>
    <row r="850" ht="13" customHeight="1" s="51">
      <c r="G850" s="16" t="n"/>
    </row>
    <row r="851" ht="13" customHeight="1" s="51">
      <c r="G851" s="16" t="n"/>
    </row>
    <row r="852" ht="13" customHeight="1" s="51">
      <c r="G852" s="16" t="n"/>
    </row>
    <row r="853" ht="13" customHeight="1" s="51">
      <c r="G853" s="16" t="n"/>
    </row>
    <row r="854" ht="13" customHeight="1" s="51">
      <c r="G854" s="16" t="n"/>
    </row>
    <row r="855" ht="13" customHeight="1" s="51">
      <c r="G855" s="16" t="n"/>
    </row>
    <row r="856" ht="13" customHeight="1" s="51">
      <c r="G856" s="16" t="n"/>
    </row>
    <row r="857" ht="13" customHeight="1" s="51">
      <c r="G857" s="16" t="n"/>
    </row>
    <row r="858" ht="13" customHeight="1" s="51">
      <c r="G858" s="16" t="n"/>
    </row>
    <row r="859" ht="13" customHeight="1" s="51">
      <c r="G859" s="16" t="n"/>
    </row>
    <row r="860" ht="13" customHeight="1" s="51">
      <c r="G860" s="16" t="n"/>
    </row>
    <row r="861" ht="13" customHeight="1" s="51">
      <c r="G861" s="16" t="n"/>
    </row>
    <row r="862" ht="13" customHeight="1" s="51">
      <c r="G862" s="16" t="n"/>
    </row>
    <row r="863" ht="13" customHeight="1" s="51">
      <c r="G863" s="16" t="n"/>
    </row>
    <row r="864" ht="13" customHeight="1" s="51">
      <c r="G864" s="16" t="n"/>
    </row>
    <row r="865" ht="13" customHeight="1" s="51">
      <c r="G865" s="16" t="n"/>
    </row>
    <row r="866" ht="13" customHeight="1" s="51">
      <c r="G866" s="16" t="n"/>
    </row>
    <row r="867" ht="13" customHeight="1" s="51">
      <c r="G867" s="16" t="n"/>
    </row>
    <row r="868" ht="13" customHeight="1" s="51">
      <c r="G868" s="16" t="n"/>
    </row>
    <row r="869" ht="13" customHeight="1" s="51">
      <c r="G869" s="16" t="n"/>
    </row>
    <row r="870" ht="13" customHeight="1" s="51">
      <c r="G870" s="16" t="n"/>
    </row>
    <row r="871" ht="13" customHeight="1" s="51">
      <c r="G871" s="16" t="n"/>
    </row>
    <row r="872" ht="13" customHeight="1" s="51">
      <c r="G872" s="16" t="n"/>
    </row>
    <row r="873" ht="13" customHeight="1" s="51">
      <c r="G873" s="16" t="n"/>
    </row>
    <row r="874" ht="13" customHeight="1" s="51">
      <c r="G874" s="16" t="n"/>
    </row>
    <row r="875" ht="13" customHeight="1" s="51">
      <c r="G875" s="16" t="n"/>
    </row>
    <row r="876" ht="13" customHeight="1" s="51">
      <c r="G876" s="16" t="n"/>
    </row>
    <row r="877" ht="13" customHeight="1" s="51">
      <c r="G877" s="16" t="n"/>
    </row>
    <row r="878" ht="13" customHeight="1" s="51">
      <c r="G878" s="16" t="n"/>
    </row>
    <row r="879" ht="13" customHeight="1" s="51">
      <c r="G879" s="16" t="n"/>
    </row>
    <row r="880" ht="13" customHeight="1" s="51">
      <c r="G880" s="16" t="n"/>
    </row>
    <row r="881" ht="13" customHeight="1" s="51">
      <c r="G881" s="16" t="n"/>
    </row>
    <row r="882" ht="13" customHeight="1" s="51">
      <c r="G882" s="16" t="n"/>
    </row>
    <row r="883" ht="13" customHeight="1" s="51">
      <c r="G883" s="16" t="n"/>
    </row>
    <row r="884" ht="13" customHeight="1" s="51">
      <c r="G884" s="16" t="n"/>
    </row>
    <row r="885" ht="13" customHeight="1" s="51">
      <c r="G885" s="16" t="n"/>
    </row>
    <row r="886" ht="13" customHeight="1" s="51">
      <c r="G886" s="16" t="n"/>
    </row>
    <row r="887" ht="13" customHeight="1" s="51">
      <c r="G887" s="16" t="n"/>
    </row>
    <row r="888" ht="13" customHeight="1" s="51">
      <c r="G888" s="16" t="n"/>
    </row>
    <row r="889" ht="13" customHeight="1" s="51">
      <c r="G889" s="16" t="n"/>
    </row>
    <row r="890" ht="13" customHeight="1" s="51">
      <c r="G890" s="16" t="n"/>
    </row>
    <row r="891" ht="13" customHeight="1" s="51">
      <c r="G891" s="16" t="n"/>
    </row>
    <row r="892" ht="13" customHeight="1" s="51">
      <c r="G892" s="16" t="n"/>
    </row>
    <row r="893" ht="13" customHeight="1" s="51">
      <c r="G893" s="16" t="n"/>
    </row>
    <row r="894" ht="13" customHeight="1" s="51">
      <c r="G894" s="16" t="n"/>
    </row>
    <row r="895" ht="13" customHeight="1" s="51">
      <c r="G895" s="16" t="n"/>
    </row>
    <row r="896" ht="13" customHeight="1" s="51">
      <c r="G896" s="16" t="n"/>
    </row>
    <row r="897" ht="13" customHeight="1" s="51">
      <c r="G897" s="16" t="n"/>
    </row>
    <row r="898" ht="13" customHeight="1" s="51">
      <c r="G898" s="16" t="n"/>
    </row>
    <row r="899" ht="13" customHeight="1" s="51">
      <c r="G899" s="16" t="n"/>
    </row>
    <row r="900" ht="13" customHeight="1" s="51">
      <c r="G900" s="16" t="n"/>
    </row>
    <row r="901" ht="13" customHeight="1" s="51">
      <c r="G901" s="16" t="n"/>
    </row>
    <row r="902" ht="13" customHeight="1" s="51">
      <c r="G902" s="16" t="n"/>
    </row>
    <row r="903" ht="13" customHeight="1" s="51">
      <c r="G903" s="16" t="n"/>
    </row>
    <row r="904" ht="13" customHeight="1" s="51">
      <c r="G904" s="16" t="n"/>
    </row>
    <row r="905" ht="13" customHeight="1" s="51">
      <c r="G905" s="16" t="n"/>
    </row>
    <row r="906" ht="13" customHeight="1" s="51">
      <c r="G906" s="16" t="n"/>
    </row>
    <row r="907" ht="13" customHeight="1" s="51">
      <c r="G907" s="16" t="n"/>
    </row>
    <row r="908" ht="13" customHeight="1" s="51">
      <c r="G908" s="16" t="n"/>
    </row>
    <row r="909" ht="13" customHeight="1" s="51">
      <c r="G909" s="16" t="n"/>
    </row>
    <row r="910" ht="13" customHeight="1" s="51">
      <c r="G910" s="16" t="n"/>
    </row>
    <row r="911" ht="13" customHeight="1" s="51">
      <c r="G911" s="16" t="n"/>
    </row>
    <row r="912" ht="13" customHeight="1" s="51">
      <c r="G912" s="16" t="n"/>
    </row>
    <row r="913" ht="13" customHeight="1" s="51">
      <c r="G913" s="16" t="n"/>
    </row>
    <row r="914" ht="13" customHeight="1" s="51">
      <c r="G914" s="16" t="n"/>
    </row>
    <row r="915" ht="13" customHeight="1" s="51">
      <c r="G915" s="16" t="n"/>
    </row>
    <row r="916" ht="13" customHeight="1" s="51">
      <c r="G916" s="16" t="n"/>
    </row>
    <row r="917" ht="13" customHeight="1" s="51">
      <c r="G917" s="16" t="n"/>
    </row>
    <row r="918" ht="13" customHeight="1" s="51">
      <c r="G918" s="16" t="n"/>
    </row>
    <row r="919" ht="13" customHeight="1" s="51">
      <c r="G919" s="16" t="n"/>
    </row>
    <row r="920" ht="13" customHeight="1" s="51">
      <c r="G920" s="16" t="n"/>
    </row>
    <row r="921" ht="13" customHeight="1" s="51">
      <c r="G921" s="16" t="n"/>
    </row>
    <row r="922" ht="13" customHeight="1" s="51">
      <c r="G922" s="16" t="n"/>
    </row>
    <row r="923" ht="13" customHeight="1" s="51">
      <c r="G923" s="16" t="n"/>
    </row>
    <row r="924" ht="13" customHeight="1" s="51">
      <c r="G924" s="16" t="n"/>
    </row>
    <row r="925" ht="13" customHeight="1" s="51">
      <c r="G925" s="16" t="n"/>
    </row>
    <row r="926" ht="13" customHeight="1" s="51">
      <c r="G926" s="16" t="n"/>
    </row>
    <row r="927" ht="13" customHeight="1" s="51">
      <c r="G927" s="16" t="n"/>
    </row>
    <row r="928" ht="13" customHeight="1" s="51">
      <c r="G928" s="16" t="n"/>
    </row>
    <row r="929" ht="13" customHeight="1" s="51">
      <c r="G929" s="16" t="n"/>
    </row>
    <row r="930" ht="13" customHeight="1" s="51">
      <c r="G930" s="16" t="n"/>
    </row>
    <row r="931" ht="13" customHeight="1" s="51">
      <c r="G931" s="16" t="n"/>
    </row>
    <row r="932" ht="13" customHeight="1" s="51">
      <c r="G932" s="16" t="n"/>
    </row>
    <row r="933" ht="13" customHeight="1" s="51">
      <c r="G933" s="16" t="n"/>
    </row>
    <row r="934" ht="13" customHeight="1" s="51">
      <c r="G934" s="16" t="n"/>
    </row>
    <row r="935" ht="13" customHeight="1" s="51">
      <c r="G935" s="16" t="n"/>
    </row>
    <row r="936" ht="13" customHeight="1" s="51">
      <c r="G936" s="16" t="n"/>
    </row>
    <row r="937" ht="13" customHeight="1" s="51">
      <c r="G937" s="16" t="n"/>
    </row>
    <row r="938" ht="13" customHeight="1" s="51">
      <c r="G938" s="16" t="n"/>
    </row>
    <row r="939" ht="13" customHeight="1" s="51">
      <c r="G939" s="16" t="n"/>
    </row>
    <row r="940" ht="13" customHeight="1" s="51">
      <c r="G940" s="16" t="n"/>
    </row>
    <row r="941" ht="13" customHeight="1" s="51">
      <c r="G941" s="16" t="n"/>
    </row>
    <row r="942" ht="13" customHeight="1" s="51">
      <c r="G942" s="16" t="n"/>
    </row>
    <row r="943" ht="13" customHeight="1" s="51">
      <c r="G943" s="16" t="n"/>
    </row>
    <row r="944" ht="13" customHeight="1" s="51">
      <c r="G944" s="16" t="n"/>
    </row>
    <row r="945" ht="13" customHeight="1" s="51">
      <c r="G945" s="16" t="n"/>
    </row>
    <row r="946" ht="13" customHeight="1" s="51">
      <c r="G946" s="16" t="n"/>
    </row>
    <row r="947" ht="13" customHeight="1" s="51">
      <c r="G947" s="16" t="n"/>
    </row>
    <row r="948" ht="13" customHeight="1" s="51">
      <c r="G948" s="16" t="n"/>
    </row>
    <row r="949" ht="13" customHeight="1" s="51"/>
    <row r="950" ht="13" customHeight="1" s="51"/>
    <row r="951" ht="13" customHeight="1" s="51"/>
    <row r="952" ht="13" customHeight="1" s="51"/>
    <row r="953" ht="13" customHeight="1" s="51"/>
    <row r="954" ht="13" customHeight="1" s="51"/>
    <row r="955" ht="13" customHeight="1" s="51"/>
    <row r="956" ht="13" customHeight="1" s="51"/>
    <row r="957" ht="13" customHeight="1" s="51"/>
    <row r="958" ht="13" customHeight="1" s="51"/>
    <row r="959" ht="13" customHeight="1" s="51"/>
    <row r="960" ht="13" customHeight="1" s="51"/>
    <row r="961" ht="13" customHeight="1" s="51"/>
    <row r="962" ht="13" customHeight="1" s="51"/>
    <row r="963" ht="13" customHeight="1" s="51"/>
    <row r="964" ht="13" customHeight="1" s="51"/>
    <row r="965" ht="13" customHeight="1" s="51"/>
    <row r="966" ht="13" customHeight="1" s="51"/>
    <row r="967" ht="13" customHeight="1" s="51"/>
    <row r="968" ht="13" customHeight="1" s="51"/>
    <row r="969" ht="13" customHeight="1" s="51"/>
    <row r="970" ht="13" customHeight="1" s="51"/>
    <row r="971" ht="13" customHeight="1" s="51"/>
    <row r="972" ht="13" customHeight="1" s="51"/>
    <row r="973" ht="13" customHeight="1" s="51"/>
    <row r="974" ht="13" customHeight="1" s="51"/>
    <row r="975" ht="13" customHeight="1" s="51"/>
    <row r="976" ht="13" customHeight="1" s="51"/>
    <row r="977" ht="13" customHeight="1" s="51"/>
    <row r="978" ht="13" customHeight="1" s="51"/>
    <row r="979" ht="13" customHeight="1" s="51"/>
    <row r="980" ht="13" customHeight="1" s="51"/>
    <row r="981" ht="13" customHeight="1" s="51"/>
    <row r="982" ht="13" customHeight="1" s="51"/>
    <row r="983" ht="13" customHeight="1" s="51"/>
    <row r="984" ht="13" customHeight="1" s="51"/>
    <row r="985" ht="13" customHeight="1" s="51"/>
    <row r="986" ht="13" customHeight="1" s="51"/>
    <row r="987" ht="13" customHeight="1" s="51"/>
  </sheetData>
  <mergeCells count="39">
    <mergeCell ref="C71:C75"/>
    <mergeCell ref="C198:C202"/>
    <mergeCell ref="C114:C118"/>
    <mergeCell ref="C247:C251"/>
    <mergeCell ref="C261:C265"/>
    <mergeCell ref="C163:C167"/>
    <mergeCell ref="C43:C47"/>
    <mergeCell ref="C8:C12"/>
    <mergeCell ref="C135:C139"/>
    <mergeCell ref="C36:C40"/>
    <mergeCell ref="C219:C223"/>
    <mergeCell ref="C57:C61"/>
    <mergeCell ref="C149:C153"/>
    <mergeCell ref="C240:C244"/>
    <mergeCell ref="C254:C258"/>
    <mergeCell ref="C268:C272"/>
    <mergeCell ref="C233:C237"/>
    <mergeCell ref="C170:C174"/>
    <mergeCell ref="C15:C19"/>
    <mergeCell ref="C78:C82"/>
    <mergeCell ref="C191:C195"/>
    <mergeCell ref="C92:C96"/>
    <mergeCell ref="C184:C188"/>
    <mergeCell ref="C275:C279"/>
    <mergeCell ref="C107:C111"/>
    <mergeCell ref="C121:C125"/>
    <mergeCell ref="C128:C132"/>
    <mergeCell ref="C64:C68"/>
    <mergeCell ref="C177:C181"/>
    <mergeCell ref="C29:C33"/>
    <mergeCell ref="C142:C146"/>
    <mergeCell ref="C100:C104"/>
    <mergeCell ref="C156:C160"/>
    <mergeCell ref="C212:C216"/>
    <mergeCell ref="C85:C89"/>
    <mergeCell ref="C205:C209"/>
    <mergeCell ref="C50:C54"/>
    <mergeCell ref="C22:C26"/>
    <mergeCell ref="C226:C23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I284"/>
  <sheetViews>
    <sheetView workbookViewId="0">
      <selection activeCell="C2" sqref="C2"/>
    </sheetView>
  </sheetViews>
  <sheetFormatPr baseColWidth="10" defaultColWidth="12.6640625" defaultRowHeight="15.75" customHeight="1"/>
  <cols>
    <col width="28" customWidth="1" style="51" min="2" max="2"/>
    <col width="67.1640625" customWidth="1" style="51" min="3" max="3"/>
    <col width="67" customWidth="1" style="51" min="4" max="4"/>
    <col width="15" bestFit="1" customWidth="1" style="26" min="5" max="5"/>
    <col width="15" bestFit="1" customWidth="1" style="26" min="7" max="7"/>
    <col width="22" customWidth="1" style="26" min="8" max="8"/>
    <col width="50" customWidth="1" style="51" min="9" max="9"/>
  </cols>
  <sheetData>
    <row r="1" ht="19" customHeight="1" s="51">
      <c r="A1" s="1" t="inlineStr">
        <is>
          <t>AI SDLC z przekazaniem Know-How</t>
        </is>
      </c>
      <c r="B1" s="2" t="n"/>
      <c r="C1" s="3" t="n"/>
      <c r="D1" s="3" t="n"/>
      <c r="E1" s="30" t="n"/>
      <c r="F1" s="3" t="n"/>
    </row>
    <row r="2" ht="15" customHeight="1" s="51">
      <c r="A2" s="4" t="inlineStr">
        <is>
          <t>BU:</t>
        </is>
      </c>
      <c r="B2" s="5" t="inlineStr">
        <is>
          <t>Capital Markets</t>
        </is>
      </c>
      <c r="C2" s="3" t="n"/>
      <c r="D2" s="3" t="n"/>
      <c r="E2" s="30" t="n"/>
      <c r="F2" s="3" t="n"/>
    </row>
    <row r="3" ht="15" customHeight="1" s="51">
      <c r="A3" s="3" t="n"/>
      <c r="B3" s="3" t="n"/>
      <c r="C3" s="3" t="n"/>
      <c r="D3" s="3" t="n"/>
      <c r="E3" s="30" t="n"/>
      <c r="F3" s="3" t="n"/>
    </row>
    <row r="4" ht="15" customHeight="1" s="51">
      <c r="A4" s="6" t="inlineStr">
        <is>
          <t>Kod</t>
        </is>
      </c>
      <c r="B4" s="6" t="inlineStr">
        <is>
          <t>Obszar</t>
        </is>
      </c>
      <c r="C4" s="6" t="inlineStr">
        <is>
          <t>Tytul / opis</t>
        </is>
      </c>
      <c r="D4" s="6" t="inlineStr">
        <is>
          <t>Pozycja kosztowa</t>
        </is>
      </c>
      <c r="E4" s="27" t="n"/>
      <c r="F4" s="6" t="inlineStr">
        <is>
          <t>Typ do podsumowania</t>
        </is>
      </c>
      <c r="G4" s="6" t="inlineStr">
        <is>
          <t>Cena netto [PLN]</t>
        </is>
      </c>
      <c r="H4" s="27" t="inlineStr">
        <is>
          <t>Suma</t>
        </is>
      </c>
      <c r="I4" s="73" t="inlineStr">
        <is>
          <t>Value proposition</t>
        </is>
      </c>
    </row>
    <row r="5" ht="15" customHeight="1" s="51">
      <c r="A5" s="3" t="n"/>
      <c r="B5" s="3" t="n"/>
      <c r="C5" s="11" t="n"/>
      <c r="D5" s="3" t="n"/>
      <c r="E5" s="30" t="n"/>
      <c r="F5" s="3" t="n"/>
    </row>
    <row r="6" ht="64" customHeight="1" s="51">
      <c r="A6" s="7" t="inlineStr">
        <is>
          <t>IK.1</t>
        </is>
      </c>
      <c r="B6" s="7" t="inlineStr">
        <is>
          <t>IK (Internal Knowledge)</t>
        </is>
      </c>
      <c r="C6" s="8" t="inlineStr">
        <is>
          <t>IK.1 - Skonsolidowana dokumentacja funkcji systemu (aktualnych wersji) dla AI</t>
        </is>
      </c>
      <c r="D6" s="7" t="inlineStr">
        <is>
          <t>Sekcja</t>
        </is>
      </c>
      <c r="E6" s="30" t="n"/>
      <c r="F6" s="3" t="n"/>
      <c r="I6" s="74" t="inlineStr">
        <is>
          <t>Analityk: pewność że AI rozumie aktualny stan systemu. Developer: AI i agenci wiedzą co jest już zaimplementowane. Reviewer: kontekst do oceny impaktu. QA: pełny kontekst systemu.</t>
        </is>
      </c>
    </row>
    <row r="7" ht="15" customHeight="1" s="51">
      <c r="A7" s="3" t="n"/>
      <c r="B7" s="3" t="n"/>
      <c r="C7" s="53" t="inlineStr">
        <is>
          <t>Analiza: Analitycy zyskują pewność, że AI rozumie aktualny stan systemu i impakt na istniejącą funkcjonalność. Skraca to czas weryfikacji pomysłów i redukuje błędy wynikające z nieaktualnej wiedzy. Development: Developerzy i agenci wiedzą co jest już zaimplementowane i AI pomoże im to odszukać. Review: Reviewerzy mają kontekst do oceny czy zmiana nie koliduje z istniejącą funkcjonalnością, jaki jest impakt przed implementacją, czy implementacja została zrealizowana. Testing: QA rozumie pełny kontekst systemu i wie co należy przetestować po zmianach proponowanych w analizie.</t>
        </is>
      </c>
      <c r="D7" s="3" t="inlineStr">
        <is>
          <t>Opis</t>
        </is>
      </c>
      <c r="E7" s="30" t="n"/>
      <c r="F7" s="3" t="n"/>
    </row>
    <row r="8" ht="15" customHeight="1" s="51">
      <c r="A8" s="3" t="n"/>
      <c r="B8" s="3" t="n"/>
      <c r="D8" s="3" t="inlineStr">
        <is>
          <t>Przekazanie knowhow</t>
        </is>
      </c>
      <c r="E8" s="25" t="n"/>
      <c r="F8" s="3" t="inlineStr">
        <is>
          <t>knowhow</t>
        </is>
      </c>
      <c r="G8" s="26" t="n">
        <v>1250</v>
      </c>
    </row>
    <row r="9" ht="15" customHeight="1" s="51">
      <c r="A9" s="3" t="n"/>
      <c r="B9" s="3" t="n"/>
      <c r="D9" s="3" t="inlineStr">
        <is>
          <t>Wykonanie skonsolidowanej dokumentacji funkcji systemu (jednej wersji) dla AI</t>
        </is>
      </c>
      <c r="E9" s="25" t="n"/>
      <c r="F9" s="3" t="inlineStr">
        <is>
          <t>AI SDLC</t>
        </is>
      </c>
      <c r="G9" s="16" t="n">
        <v>7500</v>
      </c>
    </row>
    <row r="10" ht="15" customHeight="1" s="51">
      <c r="A10" s="3" t="n"/>
      <c r="B10" s="3" t="n"/>
      <c r="D10" s="3" t="inlineStr">
        <is>
          <t>Review prac po stronie</t>
        </is>
      </c>
      <c r="E10" s="25" t="n"/>
      <c r="F10" s="3" t="inlineStr">
        <is>
          <t>AI SDLC</t>
        </is>
      </c>
      <c r="G10" s="26" t="n">
        <v>500</v>
      </c>
    </row>
    <row r="11" ht="15" customHeight="1" s="51">
      <c r="A11" s="3" t="n"/>
      <c r="B11" s="3" t="n"/>
      <c r="D11" s="3" t="inlineStr">
        <is>
          <t>Suma IK.1</t>
        </is>
      </c>
      <c r="E11" s="25" t="n"/>
      <c r="F11" s="3" t="n"/>
      <c r="H11" s="26">
        <f>SUM(G8:G10)</f>
        <v/>
      </c>
    </row>
    <row r="12" ht="15" customHeight="1" s="51">
      <c r="A12" s="3" t="n"/>
      <c r="B12" s="3" t="n"/>
      <c r="C12" s="11" t="n"/>
      <c r="D12" s="3" t="n"/>
      <c r="E12" s="30" t="n"/>
      <c r="F12" s="3" t="n"/>
    </row>
    <row r="13" ht="49" customHeight="1" s="51">
      <c r="A13" s="7" t="inlineStr">
        <is>
          <t>IK.2</t>
        </is>
      </c>
      <c r="B13" s="7" t="inlineStr">
        <is>
          <t>IK (Internal Knowledge)</t>
        </is>
      </c>
      <c r="C13" s="8" t="inlineStr">
        <is>
          <t>IK.2 - Baza wiedzy mapująca funkcjonalność na kod / architekturę (funkcjonalność -&gt; UI -&gt; Beans -&gt; baza danych)</t>
        </is>
      </c>
      <c r="D13" s="7" t="inlineStr">
        <is>
          <t>Sekcja</t>
        </is>
      </c>
      <c r="E13" s="30" t="n"/>
      <c r="F13" s="3" t="n"/>
      <c r="I13" s="74" t="inlineStr">
        <is>
          <t>Analityk: AI wskazuje miejsca zmian po opisie. Developer: wie dokładnie gdzie zmieniać kod. Reviewer: ocenia pełen impact. QA: wie co testować.</t>
        </is>
      </c>
    </row>
    <row r="14" ht="15" customHeight="1" s="51">
      <c r="A14" s="3" t="n"/>
      <c r="B14" s="3" t="n"/>
      <c r="C14" s="53" t="inlineStr">
        <is>
          <t>Analiza:  Po napisaniu opisu zmian AI wskazuje potencjalne miejsca zmian w kodzie i dokumentacji, a analityk robi finalną walidację. Automatyczne mapowanie nazewnictwa PL (analiza) vs EN (kod) ogranicza błędy wynikające z dwóch języków. Development: Developerzy wiedzą dokładnie gdzie i jak zmieniać kod. Review: Reviewerzy mogą ocenić pełen impact zmiany na kod i architekturę. Testing: Testerzy wiedzą co musi być przetestowane po zmianie.</t>
        </is>
      </c>
      <c r="D14" s="3" t="inlineStr">
        <is>
          <t>Opis</t>
        </is>
      </c>
      <c r="E14" s="30" t="n"/>
      <c r="F14" s="3" t="n"/>
    </row>
    <row r="15" ht="15" customHeight="1" s="51">
      <c r="A15" s="3" t="n"/>
      <c r="B15" s="3" t="n"/>
      <c r="D15" s="3" t="inlineStr">
        <is>
          <t>Przekazanie knowhow</t>
        </is>
      </c>
      <c r="E15" s="25" t="n"/>
      <c r="F15" s="3" t="inlineStr">
        <is>
          <t>knowhow</t>
        </is>
      </c>
      <c r="G15" s="26" t="n">
        <v>1250</v>
      </c>
    </row>
    <row r="16" ht="15" customHeight="1" s="51">
      <c r="A16" s="3" t="n"/>
      <c r="B16" s="3" t="n"/>
      <c r="D16" s="3" t="inlineStr">
        <is>
          <t>Wykonanie bazy wiedzy mapującej funkcjonalność na kod i architekturę</t>
        </is>
      </c>
      <c r="E16" s="25" t="n"/>
      <c r="F16" s="3" t="inlineStr">
        <is>
          <t>AI SDLC</t>
        </is>
      </c>
      <c r="G16" s="16" t="n">
        <v>3750</v>
      </c>
    </row>
    <row r="17" ht="15" customHeight="1" s="51">
      <c r="A17" s="3" t="n"/>
      <c r="B17" s="3" t="n"/>
      <c r="D17" s="3" t="inlineStr">
        <is>
          <t>Review prac po stronie</t>
        </is>
      </c>
      <c r="E17" s="25" t="n"/>
      <c r="F17" s="3" t="inlineStr">
        <is>
          <t>AI SDLC</t>
        </is>
      </c>
      <c r="G17" s="26" t="n">
        <v>500</v>
      </c>
    </row>
    <row r="18" ht="15" customHeight="1" s="51">
      <c r="A18" s="3" t="n"/>
      <c r="B18" s="3" t="n"/>
      <c r="D18" s="3" t="inlineStr">
        <is>
          <t>Suma IK.2</t>
        </is>
      </c>
      <c r="E18" s="25" t="n"/>
      <c r="F18" s="3" t="n"/>
      <c r="H18" s="26">
        <f>SUM(G15:G17)</f>
        <v/>
      </c>
    </row>
    <row r="19" ht="15" customHeight="1" s="51">
      <c r="A19" s="3" t="n"/>
      <c r="B19" s="3" t="n"/>
      <c r="C19" s="11" t="n"/>
      <c r="D19" s="3" t="n"/>
      <c r="E19" s="30" t="n"/>
      <c r="F19" s="3" t="n"/>
    </row>
    <row r="20" ht="34" customHeight="1" s="51">
      <c r="A20" s="7" t="inlineStr">
        <is>
          <t>IK.3</t>
        </is>
      </c>
      <c r="B20" s="7" t="inlineStr">
        <is>
          <t>IK (Internal Knowledge)</t>
        </is>
      </c>
      <c r="C20" s="8" t="inlineStr">
        <is>
          <t>IK.3 - Heurystyczne szacowanie pracochłonności (w oparciu o wartości eksperckie)</t>
        </is>
      </c>
      <c r="D20" s="7" t="inlineStr">
        <is>
          <t>Sekcja</t>
        </is>
      </c>
      <c r="E20" s="30" t="n"/>
      <c r="F20" s="3" t="n"/>
      <c r="I20" s="74" t="inlineStr">
        <is>
          <t>Liderzy: estymaty oparte na wartościach eksperckich.</t>
        </is>
      </c>
    </row>
    <row r="21" ht="15" customHeight="1" s="51">
      <c r="A21" s="3" t="n"/>
      <c r="B21" s="3" t="n"/>
      <c r="C21" s="53" t="inlineStr">
        <is>
          <t>opcja A. (zalecana) szacowanie z wartościami eksperckimi opcja B. (odradzamy) liczenie metryk na bazie kodu/jira jeśli nie istnieją Analiza: Porównujemy artefakty analityczne z realnym stanem systemu, by estymować postęp i złożoność zmian. Liderzy projektu zyskują estymaty oparte na wartościach eksperckich.</t>
        </is>
      </c>
      <c r="D21" s="3" t="inlineStr">
        <is>
          <t>Opis</t>
        </is>
      </c>
      <c r="E21" s="30" t="n"/>
      <c r="F21" s="3" t="n"/>
    </row>
    <row r="22" ht="15" customHeight="1" s="51">
      <c r="A22" s="3" t="n"/>
      <c r="B22" s="3" t="n"/>
      <c r="D22" s="3" t="inlineStr">
        <is>
          <t>Przekazanie knowhow</t>
        </is>
      </c>
      <c r="E22" s="25" t="n"/>
      <c r="F22" s="3" t="inlineStr">
        <is>
          <t>knowhow</t>
        </is>
      </c>
      <c r="G22" s="26" t="n">
        <v>0</v>
      </c>
    </row>
    <row r="23" ht="15" customHeight="1" s="51">
      <c r="A23" s="3" t="n"/>
      <c r="B23" s="3" t="n"/>
      <c r="D23" s="3" t="inlineStr">
        <is>
          <t>Przygotowanie heurystycznego szacowania pracochłonności</t>
        </is>
      </c>
      <c r="E23" s="25" t="n"/>
      <c r="F23" s="3" t="inlineStr">
        <is>
          <t>AI SDLC</t>
        </is>
      </c>
      <c r="G23" s="26" t="n">
        <v>0</v>
      </c>
    </row>
    <row r="24" ht="15" customHeight="1" s="51">
      <c r="A24" s="3" t="n"/>
      <c r="B24" s="3" t="n"/>
      <c r="D24" s="3" t="inlineStr">
        <is>
          <t>Review prac po stronie</t>
        </is>
      </c>
      <c r="E24" s="25" t="n"/>
      <c r="F24" s="3" t="inlineStr">
        <is>
          <t>AI SDLC</t>
        </is>
      </c>
      <c r="G24" s="26" t="n">
        <v>0</v>
      </c>
    </row>
    <row r="25" ht="15" customHeight="1" s="51">
      <c r="A25" s="3" t="n"/>
      <c r="B25" s="3" t="n"/>
      <c r="D25" s="3" t="inlineStr">
        <is>
          <t>Suma IK.3</t>
        </is>
      </c>
      <c r="E25" s="25" t="n"/>
      <c r="F25" s="3" t="n"/>
      <c r="H25" s="26">
        <f>SUM(G22:G24)</f>
        <v/>
      </c>
    </row>
    <row r="26" ht="15" customHeight="1" s="51">
      <c r="A26" s="3" t="n"/>
      <c r="B26" s="3" t="n"/>
      <c r="C26" s="11" t="n"/>
      <c r="D26" s="3" t="n"/>
      <c r="E26" s="30" t="n"/>
      <c r="F26" s="3" t="n"/>
    </row>
    <row r="27" ht="49" customHeight="1" s="51">
      <c r="A27" s="7" t="inlineStr">
        <is>
          <t>IK.4</t>
        </is>
      </c>
      <c r="B27" s="7" t="inlineStr">
        <is>
          <t>IK (Internal Knowledge)</t>
        </is>
      </c>
      <c r="C27" s="8" t="inlineStr">
        <is>
          <t>IK.4 - Skonsolidowana dokumentacja architektury frontendu optymalna dla AI</t>
        </is>
      </c>
      <c r="D27" s="7" t="inlineStr">
        <is>
          <t>Sekcja</t>
        </is>
      </c>
      <c r="E27" s="30" t="n"/>
      <c r="F27" s="3" t="n"/>
      <c r="I27" s="74" t="inlineStr">
        <is>
          <t>Analityk: szybsza ocena impaktu na frontend. Developer: AI generuje kod zgodny z architekturą. Reviewer: zgodność z zasadami. QA: spójne testy UI.</t>
        </is>
      </c>
    </row>
    <row r="28" ht="15" customHeight="1" s="51">
      <c r="A28" s="3" t="n"/>
      <c r="B28" s="3" t="n"/>
      <c r="C28" s="53" t="inlineStr">
        <is>
          <t>Analiza: Ocena impakty zmian na frontendzie. Development: AI generuje kod zgodny z lokalną architekturą i wzorcami. AI i developerzy  mają jasne wzorce jak pisać frontend - formularze, tabelki, nazewnictwo, elementy common. Dodatkowe instrukcja uświadamiające AI odnośnie hacków primefaces. Review: Reviewerzy sprawdzają zgodność z zasadami architektonicznymi frontendu. Testing: UI testy e2e są spójne i zgodne z wzorcami.</t>
        </is>
      </c>
      <c r="D28" s="3" t="inlineStr">
        <is>
          <t>Opis</t>
        </is>
      </c>
      <c r="E28" s="30" t="n"/>
      <c r="F28" s="3" t="n"/>
    </row>
    <row r="29" ht="15" customHeight="1" s="51">
      <c r="A29" s="3" t="n"/>
      <c r="B29" s="3" t="n"/>
      <c r="D29" s="3" t="inlineStr">
        <is>
          <t>Przekazanie knowhow</t>
        </is>
      </c>
      <c r="E29" s="25" t="n"/>
      <c r="F29" s="3" t="inlineStr">
        <is>
          <t>knowhow</t>
        </is>
      </c>
      <c r="G29" s="26" t="n">
        <v>1250</v>
      </c>
    </row>
    <row r="30" ht="15" customHeight="1" s="51">
      <c r="A30" s="3" t="n"/>
      <c r="B30" s="3" t="n"/>
      <c r="D30" s="3" t="inlineStr">
        <is>
          <t>Wykonanie skonsolidowanej dokumentacji architektury frontendu dla AI</t>
        </is>
      </c>
      <c r="E30" s="25" t="n"/>
      <c r="F30" s="3" t="inlineStr">
        <is>
          <t>AI SDLC</t>
        </is>
      </c>
      <c r="G30" s="26" t="n">
        <v>1250</v>
      </c>
    </row>
    <row r="31" ht="15" customHeight="1" s="51">
      <c r="A31" s="3" t="n"/>
      <c r="B31" s="3" t="n"/>
      <c r="D31" s="3" t="inlineStr">
        <is>
          <t>Review prac po stronie</t>
        </is>
      </c>
      <c r="E31" s="25" t="n"/>
      <c r="F31" s="3" t="inlineStr">
        <is>
          <t>AI SDLC</t>
        </is>
      </c>
      <c r="G31" s="26" t="n">
        <v>1250</v>
      </c>
    </row>
    <row r="32" ht="15" customHeight="1" s="51">
      <c r="A32" s="3" t="n"/>
      <c r="B32" s="3" t="n"/>
      <c r="D32" s="3" t="inlineStr">
        <is>
          <t>Suma IK.4</t>
        </is>
      </c>
      <c r="E32" s="25" t="n"/>
      <c r="F32" s="3" t="n"/>
      <c r="H32" s="26">
        <f>SUM(G29:G31)</f>
        <v/>
      </c>
    </row>
    <row r="33" ht="15" customHeight="1" s="51">
      <c r="A33" s="3" t="n"/>
      <c r="B33" s="3" t="n"/>
      <c r="C33" s="11" t="n"/>
      <c r="D33" s="3" t="n"/>
      <c r="E33" s="30" t="n"/>
      <c r="F33" s="3" t="n"/>
    </row>
    <row r="34" ht="64" customHeight="1" s="51">
      <c r="A34" s="7" t="inlineStr">
        <is>
          <t>IK.5</t>
        </is>
      </c>
      <c r="B34" s="7" t="inlineStr">
        <is>
          <t>IK (Internal Knowledge)</t>
        </is>
      </c>
      <c r="C34" s="8" t="inlineStr">
        <is>
          <t>IK.5 - Skonsolidowana dokumentacja architektury backendu optymalna dla AI</t>
        </is>
      </c>
      <c r="D34" s="7" t="inlineStr">
        <is>
          <t>Sekcja</t>
        </is>
      </c>
      <c r="E34" s="30" t="n"/>
      <c r="F34" s="3" t="n"/>
      <c r="I34" s="74" t="inlineStr">
        <is>
          <t>Analityk: szybsza ocena impaktu na backend. Developer: AI generuje kod zgodny z wzorcami backendu. Reviewer: zgodność architektoniczna. QA: testy zgodne ze wzorcami.</t>
        </is>
      </c>
    </row>
    <row r="35" ht="15" customHeight="1" s="51">
      <c r="A35" s="3" t="n"/>
      <c r="B35" s="3" t="n"/>
      <c r="C35" s="53" t="inlineStr">
        <is>
          <t>Analiza: Ocena impakty zmian na backendzie. Development: AI generuje kod zgodny z lokalną architekturą i wzorcami. AI i developerzy mają jasne wzorce jak pisać backend - Beana, encje, procedury składowane i exception handling. Review: Reviewerzy sprawdzają zgodność z zasadami architektonicznymi backendu. Testing: Testy backendowe są spójne z przyjętymi wzorcami. AI rozumie strukturę i może pisać testy jednostkowe i integracyjne zgodne z wzorcami.</t>
        </is>
      </c>
      <c r="D35" s="3" t="inlineStr">
        <is>
          <t>Opis</t>
        </is>
      </c>
      <c r="E35" s="30" t="n"/>
      <c r="F35" s="3" t="n"/>
    </row>
    <row r="36" ht="15" customHeight="1" s="51">
      <c r="A36" s="3" t="n"/>
      <c r="B36" s="3" t="n"/>
      <c r="D36" s="3" t="inlineStr">
        <is>
          <t>Przekazanie knowhow</t>
        </is>
      </c>
      <c r="E36" s="25" t="n"/>
      <c r="F36" s="3" t="inlineStr">
        <is>
          <t>knowhow</t>
        </is>
      </c>
      <c r="G36" s="26" t="n">
        <v>1250</v>
      </c>
    </row>
    <row r="37" ht="15" customHeight="1" s="51">
      <c r="A37" s="3" t="n"/>
      <c r="B37" s="3" t="n"/>
      <c r="D37" s="3" t="inlineStr">
        <is>
          <t>Wykonanie skonsolidowanej dokumentacji architektury backendu dla AI</t>
        </is>
      </c>
      <c r="E37" s="25" t="n"/>
      <c r="F37" s="3" t="inlineStr">
        <is>
          <t>AI SDLC</t>
        </is>
      </c>
      <c r="G37" s="26" t="n">
        <v>1250</v>
      </c>
    </row>
    <row r="38" ht="15" customHeight="1" s="51">
      <c r="A38" s="3" t="n"/>
      <c r="B38" s="3" t="n"/>
      <c r="D38" s="3" t="inlineStr">
        <is>
          <t>Review prac po stronie</t>
        </is>
      </c>
      <c r="E38" s="25" t="n"/>
      <c r="F38" s="3" t="inlineStr">
        <is>
          <t>AI SDLC</t>
        </is>
      </c>
      <c r="G38" s="26" t="n">
        <v>1250</v>
      </c>
    </row>
    <row r="39" ht="15" customHeight="1" s="51">
      <c r="A39" s="3" t="n"/>
      <c r="B39" s="3" t="n"/>
      <c r="D39" s="3" t="inlineStr">
        <is>
          <t>Suma IK.5</t>
        </is>
      </c>
      <c r="E39" s="25" t="n"/>
      <c r="F39" s="3" t="n"/>
      <c r="H39" s="26">
        <f>SUM(G36:G38)</f>
        <v/>
      </c>
    </row>
    <row r="40" ht="15" customHeight="1" s="51">
      <c r="A40" s="3" t="n"/>
      <c r="B40" s="3" t="n"/>
      <c r="C40" s="11" t="n"/>
      <c r="D40" s="3" t="n"/>
      <c r="E40" s="30" t="n"/>
      <c r="F40" s="3" t="n"/>
    </row>
    <row r="41" ht="49" customHeight="1" s="51">
      <c r="A41" s="36" t="inlineStr">
        <is>
          <t>IK.7</t>
        </is>
      </c>
      <c r="B41" s="36" t="inlineStr">
        <is>
          <t>IK (Internal Knowledge)</t>
        </is>
      </c>
      <c r="C41" s="37" t="inlineStr">
        <is>
          <t>IK.7 - Implementacja obecnie brakujących scenariuszy e2e (pracochłonne dla wszystkich)</t>
        </is>
      </c>
      <c r="D41" s="36" t="inlineStr">
        <is>
          <t>Sekcja</t>
        </is>
      </c>
      <c r="E41" s="45" t="n"/>
      <c r="F41" s="38" t="n"/>
      <c r="G41" s="46" t="n"/>
      <c r="H41" s="46" t="n"/>
      <c r="I41" s="74" t="inlineStr">
        <is>
          <t>Analityk: brakujące scenariusze z AI. Developer: scenariusze z danymi. Reviewer: sprawdza pokrycie. QA: gotowe e2e.</t>
        </is>
      </c>
    </row>
    <row r="42" ht="15" customHeight="1" s="51">
      <c r="A42" s="38" t="n"/>
      <c r="B42" s="38" t="n"/>
      <c r="C42" s="54" t="inlineStr">
        <is>
          <t>Analiza: Analitycy przygotowują z AI brakujące scenariusze na bazie obecnego systemu i dokumentacji - obecnie testy są głównie manualne i słabo sformalizowane. Development: Developerzy wiedzą co dokładnie ma być zaimplementowane - dostają scenariusze z przykładowymi danymi. Review: Reviewerzy sprawdzają czy implementacja pokrywa wszystkie scenariusze. Testing: QA ma gotowe scenariusze e2e w pseudokodzie, które można automatycznie wykonywać. Usprawniamy pozyskiwanie danych testowych i deterministyczny reset scenariuszy.</t>
        </is>
      </c>
      <c r="D42" s="38" t="inlineStr">
        <is>
          <t>Opis</t>
        </is>
      </c>
      <c r="E42" s="45" t="n"/>
      <c r="F42" s="38" t="n"/>
      <c r="G42" s="46" t="n"/>
      <c r="H42" s="46" t="n"/>
    </row>
    <row r="43" ht="15" customHeight="1" s="51">
      <c r="A43" s="38" t="n"/>
      <c r="B43" s="38" t="n"/>
      <c r="D43" s="38" t="inlineStr">
        <is>
          <t>Przekazanie knowhow</t>
        </is>
      </c>
      <c r="E43" s="47" t="n"/>
      <c r="F43" s="38" t="inlineStr">
        <is>
          <t>knowhow</t>
        </is>
      </c>
      <c r="G43" s="46" t="n">
        <v>0</v>
      </c>
      <c r="H43" s="46" t="n"/>
    </row>
    <row r="44" ht="15" customHeight="1" s="51">
      <c r="A44" s="38" t="n"/>
      <c r="B44" s="38" t="n"/>
      <c r="D44" s="38" t="inlineStr">
        <is>
          <t>Przygotowanie i wdrożenie brakujących scenariuszy e2e</t>
        </is>
      </c>
      <c r="E44" s="47" t="n"/>
      <c r="F44" s="38" t="inlineStr">
        <is>
          <t>AI SDLC</t>
        </is>
      </c>
      <c r="G44" s="46" t="n">
        <v>0</v>
      </c>
      <c r="H44" s="46" t="n"/>
    </row>
    <row r="45" ht="15" customHeight="1" s="51">
      <c r="A45" s="38" t="n"/>
      <c r="B45" s="38" t="n"/>
      <c r="D45" s="38" t="inlineStr">
        <is>
          <t>Review prac po stronie</t>
        </is>
      </c>
      <c r="E45" s="47" t="n"/>
      <c r="F45" s="38" t="inlineStr">
        <is>
          <t>AI SDLC</t>
        </is>
      </c>
      <c r="G45" s="46" t="n">
        <v>0</v>
      </c>
      <c r="H45" s="46" t="n"/>
    </row>
    <row r="46" ht="15" customHeight="1" s="51">
      <c r="A46" s="38" t="n"/>
      <c r="B46" s="38" t="n"/>
      <c r="D46" s="38" t="inlineStr">
        <is>
          <t>Suma IK.7</t>
        </is>
      </c>
      <c r="E46" s="47" t="n"/>
      <c r="F46" s="38" t="n"/>
      <c r="G46" s="43" t="inlineStr">
        <is>
          <t>NIE DOSTĘPNE</t>
        </is>
      </c>
      <c r="H46" s="46">
        <f>SUM(G43:G45)</f>
        <v/>
      </c>
    </row>
    <row r="47" ht="15" customHeight="1" s="51">
      <c r="A47" s="3" t="n"/>
      <c r="B47" s="3" t="n"/>
      <c r="C47" s="11" t="n"/>
      <c r="D47" s="3" t="n"/>
      <c r="E47" s="30" t="n"/>
      <c r="F47" s="3" t="n"/>
    </row>
    <row r="48" ht="34" customHeight="1" s="51">
      <c r="A48" s="7" t="inlineStr">
        <is>
          <t>EK.1</t>
        </is>
      </c>
      <c r="B48" s="7" t="inlineStr">
        <is>
          <t>EK (External Knowledge)</t>
        </is>
      </c>
      <c r="C48" s="8" t="inlineStr">
        <is>
          <t>EK.1 - Instrukcje AI dla pracy ze źródłami regulatorów: KNF / GPW</t>
        </is>
      </c>
      <c r="D48" s="7" t="inlineStr">
        <is>
          <t>Sekcja</t>
        </is>
      </c>
      <c r="E48" s="30" t="n"/>
      <c r="F48" s="3" t="n"/>
      <c r="I48" s="74" t="inlineStr">
        <is>
          <t>Analityk: AI rozbudowuje wymagania regulacyjne KNF/GPW, generuje pytania, weryfikuje analizę.</t>
        </is>
      </c>
    </row>
    <row r="49" ht="15" customHeight="1" s="51">
      <c r="A49" s="7" t="n"/>
      <c r="B49" s="3" t="n"/>
      <c r="C49" s="53" t="inlineStr">
        <is>
          <t>Analitycy używają AI do rozbudowywania wstępnych wymagań (w tym KNF / GPW) i generowania pytań doprecyzowujących przed warsztatami z klientem. AI sprawdza analizę vs źródłami regulatorów - przyspiesza pracę, ale nie zwalnia analityka z odpowiedzialności.</t>
        </is>
      </c>
      <c r="D49" s="3" t="inlineStr">
        <is>
          <t>Opis</t>
        </is>
      </c>
      <c r="E49" s="30" t="n"/>
      <c r="F49" s="3" t="n"/>
    </row>
    <row r="50" ht="15" customHeight="1" s="51">
      <c r="A50" s="3" t="n"/>
      <c r="B50" s="3" t="n"/>
      <c r="D50" s="3" t="inlineStr">
        <is>
          <t>Przekazanie knowhow</t>
        </is>
      </c>
      <c r="E50" s="25" t="n"/>
      <c r="F50" s="3" t="inlineStr">
        <is>
          <t>knowhow</t>
        </is>
      </c>
      <c r="G50" s="26" t="n">
        <v>1250</v>
      </c>
    </row>
    <row r="51" ht="15" customHeight="1" s="51">
      <c r="A51" s="3" t="n"/>
      <c r="B51" s="3" t="n"/>
      <c r="D51" s="3" t="inlineStr">
        <is>
          <t>Przygotowanie instrukcji AI do pracy ze źródłami regulatorów KNF i UE</t>
        </is>
      </c>
      <c r="E51" s="25" t="n"/>
      <c r="F51" s="3" t="inlineStr">
        <is>
          <t>AI SDLC</t>
        </is>
      </c>
      <c r="G51" s="26" t="n">
        <v>1250</v>
      </c>
    </row>
    <row r="52" ht="15" customHeight="1" s="51">
      <c r="A52" s="3" t="n"/>
      <c r="B52" s="3" t="n"/>
      <c r="D52" s="3" t="inlineStr">
        <is>
          <t>Review prac po stronie</t>
        </is>
      </c>
      <c r="E52" s="25" t="n"/>
      <c r="F52" s="3" t="inlineStr">
        <is>
          <t>AI SDLC</t>
        </is>
      </c>
      <c r="G52" s="26" t="n">
        <v>300</v>
      </c>
    </row>
    <row r="53" ht="15" customHeight="1" s="51">
      <c r="A53" s="3" t="n"/>
      <c r="B53" s="3" t="n"/>
      <c r="D53" s="3" t="inlineStr">
        <is>
          <t>Suma EK.1</t>
        </is>
      </c>
      <c r="E53" s="25" t="n"/>
      <c r="F53" s="3" t="n"/>
      <c r="H53" s="26">
        <f>SUM(G50:G52)</f>
        <v/>
      </c>
    </row>
    <row r="54" ht="15" customHeight="1" s="51">
      <c r="A54" s="3" t="n"/>
      <c r="B54" s="3" t="n"/>
      <c r="C54" s="11" t="n"/>
      <c r="D54" s="3" t="n"/>
      <c r="E54" s="30" t="n"/>
      <c r="F54" s="3" t="n"/>
    </row>
    <row r="55" ht="34" customHeight="1" s="51">
      <c r="A55" s="7" t="inlineStr">
        <is>
          <t>TL.1</t>
        </is>
      </c>
      <c r="B55" s="7" t="inlineStr">
        <is>
          <t>Analiza</t>
        </is>
      </c>
      <c r="C55" s="8" t="inlineStr">
        <is>
          <t>TL.1 - Przygotowanie narzędzi dla AI dedykowanych dla Analityków (UI z dostępem do baz wiedzy i tooli, podobnie jak dla developerów)</t>
        </is>
      </c>
      <c r="D55" s="7" t="inlineStr">
        <is>
          <t>Sekcja</t>
        </is>
      </c>
      <c r="E55" s="30" t="n"/>
      <c r="F55" s="3" t="n"/>
      <c r="I55" s="74" t="inlineStr">
        <is>
          <t>Analityk: dedykowane środowisko AI do analizy i review dokumentów.</t>
        </is>
      </c>
    </row>
    <row r="56" ht="15" customHeight="1" s="51">
      <c r="A56" s="3" t="n"/>
      <c r="B56" s="3" t="n"/>
      <c r="C56" s="53" t="inlineStr">
        <is>
          <t>Analitycy zyskują dedykowane środowisko pracy z AI, które wspiera ich na wejściu procesu - rozbudowuje wstępne wymagania, generuje pytania doprecyzowujące przed warsztatami z klientem. Wsparcie przy przeglądzie Review dokumentów analitycznych. Impakt na kod.</t>
        </is>
      </c>
      <c r="D56" s="3" t="inlineStr">
        <is>
          <t>Opis</t>
        </is>
      </c>
      <c r="E56" s="30" t="n"/>
      <c r="F56" s="3" t="n"/>
    </row>
    <row r="57" ht="15" customHeight="1" s="51">
      <c r="A57" s="3" t="n"/>
      <c r="B57" s="3" t="n"/>
      <c r="D57" s="3" t="inlineStr">
        <is>
          <t>Przekazanie knowhow</t>
        </is>
      </c>
      <c r="E57" s="25" t="n"/>
      <c r="F57" s="3" t="inlineStr">
        <is>
          <t>knowhow</t>
        </is>
      </c>
      <c r="G57" s="26" t="n">
        <v>1250</v>
      </c>
    </row>
    <row r="58" ht="15" customHeight="1" s="51">
      <c r="A58" s="3" t="n"/>
      <c r="B58" s="3" t="n"/>
      <c r="D58" s="3" t="inlineStr">
        <is>
          <t>Dostosowanie narzędzi AI dedykowanych analitykom</t>
        </is>
      </c>
      <c r="E58" s="25" t="n"/>
      <c r="F58" s="3" t="inlineStr">
        <is>
          <t>AI SDLC</t>
        </is>
      </c>
      <c r="G58" s="26" t="n">
        <v>1250</v>
      </c>
    </row>
    <row r="59" ht="15" customHeight="1" s="51">
      <c r="A59" s="3" t="n"/>
      <c r="B59" s="3" t="n"/>
      <c r="D59" s="3" t="inlineStr">
        <is>
          <t>Review prac po stronie</t>
        </is>
      </c>
      <c r="E59" s="25" t="n"/>
      <c r="F59" s="3" t="inlineStr">
        <is>
          <t>AI SDLC</t>
        </is>
      </c>
      <c r="G59" s="26" t="n">
        <v>0</v>
      </c>
    </row>
    <row r="60" ht="15" customHeight="1" s="51">
      <c r="A60" s="3" t="n"/>
      <c r="B60" s="3" t="n"/>
      <c r="D60" s="3" t="inlineStr">
        <is>
          <t>Suma TL.1</t>
        </is>
      </c>
      <c r="E60" s="25" t="n"/>
      <c r="F60" s="3" t="n"/>
      <c r="H60" s="26">
        <f>SUM(G57:G59)</f>
        <v/>
      </c>
    </row>
    <row r="61" ht="15" customHeight="1" s="51">
      <c r="A61" s="3" t="n"/>
      <c r="B61" s="3" t="n"/>
      <c r="C61" s="11" t="n"/>
      <c r="D61" s="3" t="n"/>
      <c r="E61" s="30" t="n"/>
      <c r="F61" s="3" t="n"/>
    </row>
    <row r="62" ht="32" customHeight="1" s="51">
      <c r="A62" s="7" t="inlineStr">
        <is>
          <t>TL.2</t>
        </is>
      </c>
      <c r="B62" s="7" t="inlineStr">
        <is>
          <t>Analiza</t>
        </is>
      </c>
      <c r="C62" s="8" t="inlineStr">
        <is>
          <t>TL.2 - Instrukcje AI do Review Analizy (Gap analysis / Spike Analysis, brakujące elementy, zasady jakościowe, definition of ready)</t>
        </is>
      </c>
      <c r="D62" s="7" t="inlineStr">
        <is>
          <t>Sekcja</t>
        </is>
      </c>
      <c r="E62" s="30" t="n"/>
      <c r="F62" s="3" t="n"/>
    </row>
    <row r="63" ht="15" customHeight="1" s="51">
      <c r="A63" s="3" t="n"/>
      <c r="B63" s="3" t="n"/>
      <c r="C63" s="53" t="inlineStr">
        <is>
          <t>Wspieramy przeglądy dokumentów analitycznych: niespójności, braki, pominięty impact i różnice między wersjami. AI przygotowuje draft historyjek Jira i kryteriów akceptacji do zatwierdzenia przez BA/PO.</t>
        </is>
      </c>
      <c r="D63" s="3" t="inlineStr">
        <is>
          <t>Opis</t>
        </is>
      </c>
      <c r="E63" s="30" t="n"/>
      <c r="F63" s="3" t="n"/>
    </row>
    <row r="64" ht="15" customHeight="1" s="51">
      <c r="A64" s="3" t="n"/>
      <c r="B64" s="3" t="n"/>
      <c r="D64" s="3" t="inlineStr">
        <is>
          <t>Przekazanie knowhow</t>
        </is>
      </c>
      <c r="E64" s="25" t="n"/>
      <c r="F64" s="3" t="inlineStr">
        <is>
          <t>knowhow</t>
        </is>
      </c>
      <c r="G64" s="26" t="n">
        <v>1250</v>
      </c>
    </row>
    <row r="65" ht="15" customHeight="1" s="51">
      <c r="A65" s="3" t="n"/>
      <c r="B65" s="3" t="n"/>
      <c r="D65" s="3" t="inlineStr">
        <is>
          <t>Dostosowanie instrukcji AI do review analizy</t>
        </is>
      </c>
      <c r="E65" s="25" t="n"/>
      <c r="F65" s="3" t="inlineStr">
        <is>
          <t>AI SDLC</t>
        </is>
      </c>
      <c r="G65" s="26" t="n">
        <v>1250</v>
      </c>
    </row>
    <row r="66" ht="15" customHeight="1" s="51">
      <c r="A66" s="3" t="n"/>
      <c r="B66" s="3" t="n"/>
      <c r="D66" s="3" t="inlineStr">
        <is>
          <t>Review prac po stronie</t>
        </is>
      </c>
      <c r="E66" s="25" t="n"/>
      <c r="F66" s="3" t="inlineStr">
        <is>
          <t>AI SDLC</t>
        </is>
      </c>
      <c r="G66" s="26" t="n">
        <v>300</v>
      </c>
    </row>
    <row r="67" ht="15" customHeight="1" s="51">
      <c r="A67" s="3" t="n"/>
      <c r="B67" s="3" t="n"/>
      <c r="D67" s="3" t="inlineStr">
        <is>
          <t>Suma TL.2</t>
        </is>
      </c>
      <c r="E67" s="25" t="n"/>
      <c r="F67" s="3" t="n"/>
      <c r="H67" s="26">
        <f>SUM(G64:G66)</f>
        <v/>
      </c>
    </row>
    <row r="68" ht="15" customHeight="1" s="51">
      <c r="A68" s="3" t="n"/>
      <c r="B68" s="3" t="n"/>
      <c r="C68" s="11" t="n"/>
      <c r="D68" s="3" t="n"/>
      <c r="E68" s="30" t="n"/>
      <c r="F68" s="3" t="n"/>
    </row>
    <row r="69" ht="32" customHeight="1" s="51">
      <c r="A69" s="7" t="inlineStr">
        <is>
          <t>TL.2.1</t>
        </is>
      </c>
      <c r="B69" s="7" t="inlineStr">
        <is>
          <t>Analiza</t>
        </is>
      </c>
      <c r="C69" s="8" t="inlineStr">
        <is>
          <t>TL.2.1 - Instrukcje AI do Review Analizy vs. źródłami regulatorów: KNF / UE (przyśpiesza, nie zwalnia analityka z odpowiedzialności)</t>
        </is>
      </c>
      <c r="D69" s="7" t="inlineStr">
        <is>
          <t>Sekcja</t>
        </is>
      </c>
      <c r="E69" s="30" t="n"/>
      <c r="F69" s="3" t="n"/>
    </row>
    <row r="70" ht="15" customHeight="1" s="51">
      <c r="A70" s="3" t="n"/>
      <c r="B70" s="3" t="n"/>
      <c r="C70" s="53" t="inlineStr">
        <is>
          <t>AI automatycznie weryfikuje analizę pod kątem zgodności z regulacjami KNF/UE, przyspieszając pracę analityka, który zachowuje pełną odpowiedzialność za decyzje.</t>
        </is>
      </c>
      <c r="D70" s="3" t="inlineStr">
        <is>
          <t>Opis</t>
        </is>
      </c>
      <c r="E70" s="30" t="n"/>
      <c r="F70" s="3" t="n"/>
    </row>
    <row r="71" ht="15" customHeight="1" s="51">
      <c r="A71" s="3" t="n"/>
      <c r="B71" s="3" t="n"/>
      <c r="D71" s="3" t="inlineStr">
        <is>
          <t>Przekazanie knowhow</t>
        </is>
      </c>
      <c r="E71" s="25" t="n"/>
      <c r="F71" s="3" t="inlineStr">
        <is>
          <t>knowhow</t>
        </is>
      </c>
      <c r="G71" s="26" t="n">
        <v>1250</v>
      </c>
    </row>
    <row r="72" ht="15" customHeight="1" s="51">
      <c r="A72" s="3" t="n"/>
      <c r="B72" s="3" t="n"/>
      <c r="D72" s="3" t="inlineStr">
        <is>
          <t>Przygotowanie instrukcji AI do review analizy względem źródeł regulatorów KNF i UE</t>
        </is>
      </c>
      <c r="E72" s="25" t="n"/>
      <c r="F72" s="3" t="inlineStr">
        <is>
          <t>AI SDLC</t>
        </is>
      </c>
      <c r="G72" s="26" t="n">
        <v>1250</v>
      </c>
    </row>
    <row r="73" ht="15" customHeight="1" s="51">
      <c r="A73" s="3" t="n"/>
      <c r="B73" s="3" t="n"/>
      <c r="D73" s="3" t="inlineStr">
        <is>
          <t>Review prac po stronie</t>
        </is>
      </c>
      <c r="E73" s="25" t="n"/>
      <c r="F73" s="3" t="inlineStr">
        <is>
          <t>AI SDLC</t>
        </is>
      </c>
      <c r="G73" s="26" t="n">
        <v>0</v>
      </c>
    </row>
    <row r="74" ht="15" customHeight="1" s="51">
      <c r="A74" s="3" t="n"/>
      <c r="B74" s="3" t="n"/>
      <c r="D74" s="3" t="inlineStr">
        <is>
          <t>Suma TL.2.1</t>
        </is>
      </c>
      <c r="E74" s="25" t="n"/>
      <c r="F74" s="3" t="n"/>
      <c r="H74" s="26">
        <f>SUM(G71:G73)</f>
        <v/>
      </c>
    </row>
    <row r="75" ht="15" customHeight="1" s="51">
      <c r="A75" s="3" t="n"/>
      <c r="B75" s="3" t="n"/>
      <c r="C75" s="11" t="n"/>
      <c r="D75" s="3" t="n"/>
      <c r="E75" s="30" t="n"/>
      <c r="F75" s="3" t="n"/>
    </row>
    <row r="76" ht="32" customHeight="1" s="51">
      <c r="A76" s="7" t="inlineStr">
        <is>
          <t>TL.3</t>
        </is>
      </c>
      <c r="B76" s="7" t="inlineStr">
        <is>
          <t>Analiza</t>
        </is>
      </c>
      <c r="C76" s="8" t="inlineStr">
        <is>
          <t>TL.3 - Instrukcje AI do generowania wstępnych diagramów BPMN / UML (edytowalnych, bez integracji z Enterprise Architect)</t>
        </is>
      </c>
      <c r="D76" s="7" t="inlineStr">
        <is>
          <t>Sekcja</t>
        </is>
      </c>
      <c r="E76" s="30" t="n"/>
      <c r="F76" s="3" t="n"/>
    </row>
    <row r="77" ht="15" customHeight="1" s="51">
      <c r="A77" s="3" t="n"/>
      <c r="B77" s="3" t="n"/>
      <c r="C77" s="53" t="inlineStr">
        <is>
          <t>Po napisaniu opisu zmian AI generuje wstępne diagramy BPMN/UML, które analityk może edytować lub iterować z AI. Skraca to czas tworzenia dokumentacji procesowej.</t>
        </is>
      </c>
      <c r="D77" s="3" t="inlineStr">
        <is>
          <t>Opis</t>
        </is>
      </c>
      <c r="E77" s="30" t="n"/>
      <c r="F77" s="3" t="n"/>
    </row>
    <row r="78" ht="15" customHeight="1" s="51">
      <c r="A78" s="3" t="n"/>
      <c r="B78" s="3" t="n"/>
      <c r="D78" s="3" t="inlineStr">
        <is>
          <t>Przekazanie knowhow</t>
        </is>
      </c>
      <c r="E78" s="25" t="n"/>
      <c r="F78" s="3" t="inlineStr">
        <is>
          <t>knowhow</t>
        </is>
      </c>
      <c r="G78" s="26" t="n">
        <v>500</v>
      </c>
    </row>
    <row r="79" ht="15" customHeight="1" s="51">
      <c r="A79" s="3" t="n"/>
      <c r="B79" s="3" t="n"/>
      <c r="D79" s="3" t="inlineStr">
        <is>
          <t>Dostosowanie  instrukcji AI do generowania wstępnych diagramów BPMN i UML</t>
        </is>
      </c>
      <c r="E79" s="25" t="n"/>
      <c r="F79" s="3" t="inlineStr">
        <is>
          <t>AI SDLC</t>
        </is>
      </c>
      <c r="G79" s="26" t="n">
        <v>900</v>
      </c>
    </row>
    <row r="80" ht="15" customHeight="1" s="51">
      <c r="A80" s="3" t="n"/>
      <c r="B80" s="3" t="n"/>
      <c r="D80" s="3" t="inlineStr">
        <is>
          <t>Review prac po stronie</t>
        </is>
      </c>
      <c r="E80" s="25" t="n"/>
      <c r="F80" s="3" t="inlineStr">
        <is>
          <t>AI SDLC</t>
        </is>
      </c>
      <c r="G80" s="26" t="n">
        <v>0</v>
      </c>
    </row>
    <row r="81" ht="15" customHeight="1" s="51">
      <c r="A81" s="3" t="n"/>
      <c r="B81" s="3" t="n"/>
      <c r="D81" s="3" t="inlineStr">
        <is>
          <t>Suma TL.3</t>
        </is>
      </c>
      <c r="E81" s="25" t="n"/>
      <c r="F81" s="3" t="n"/>
      <c r="H81" s="26">
        <f>SUM(G78:G80)</f>
        <v/>
      </c>
    </row>
    <row r="82" ht="15" customHeight="1" s="51">
      <c r="A82" s="3" t="n"/>
      <c r="B82" s="3" t="n"/>
      <c r="C82" s="11" t="n"/>
      <c r="D82" s="3" t="n"/>
      <c r="E82" s="30" t="n"/>
      <c r="F82" s="3" t="n"/>
    </row>
    <row r="83" ht="32" customHeight="1" s="51">
      <c r="A83" s="7" t="inlineStr">
        <is>
          <t>TL.4</t>
        </is>
      </c>
      <c r="B83" s="7" t="inlineStr">
        <is>
          <t>Analiza</t>
        </is>
      </c>
      <c r="C83" s="8" t="inlineStr">
        <is>
          <t>TL.4 - Instrukcje/narzędzia dla AI do generowania wstępnego (low fidelity) UI / UX. (bez integracji z Enterprise Architect)</t>
        </is>
      </c>
      <c r="D83" s="7" t="inlineStr">
        <is>
          <t>Sekcja</t>
        </is>
      </c>
      <c r="E83" s="30" t="n"/>
      <c r="F83" s="3" t="n"/>
    </row>
    <row r="84" ht="15" customHeight="1" s="51">
      <c r="A84" s="3" t="n"/>
      <c r="B84" s="3" t="n"/>
      <c r="C84" s="53" t="inlineStr">
        <is>
          <t>AI generuje wstępny (low fidelity) UI/UX na podstawie opisu zmian, co pozwala szybko zwizualizować proponowane rozwiązanie przed rozpoczęciem implementacji.</t>
        </is>
      </c>
      <c r="D84" s="3" t="inlineStr">
        <is>
          <t>Opis</t>
        </is>
      </c>
      <c r="E84" s="30" t="n"/>
      <c r="F84" s="3" t="n"/>
    </row>
    <row r="85" ht="15" customHeight="1" s="51">
      <c r="A85" s="3" t="n"/>
      <c r="B85" s="3" t="n"/>
      <c r="D85" s="3" t="inlineStr">
        <is>
          <t>Przekazanie knowhow</t>
        </is>
      </c>
      <c r="E85" s="25" t="n"/>
      <c r="F85" s="3" t="inlineStr">
        <is>
          <t>knowhow</t>
        </is>
      </c>
      <c r="G85" s="26" t="n">
        <v>500</v>
      </c>
    </row>
    <row r="86" ht="15" customHeight="1" s="51">
      <c r="A86" s="3" t="n"/>
      <c r="B86" s="3" t="n"/>
      <c r="D86" s="3" t="inlineStr">
        <is>
          <t>Dostosowanie  instrukcji i narzędzi AI do generowania wstępnego UI i UX</t>
        </is>
      </c>
      <c r="E86" s="25" t="n"/>
      <c r="F86" s="3" t="inlineStr">
        <is>
          <t>AI SDLC</t>
        </is>
      </c>
      <c r="G86" s="26" t="n">
        <v>400</v>
      </c>
    </row>
    <row r="87" ht="15" customHeight="1" s="51">
      <c r="A87" s="3" t="n"/>
      <c r="B87" s="3" t="n"/>
      <c r="D87" s="3" t="inlineStr">
        <is>
          <t>Review prac po stronie</t>
        </is>
      </c>
      <c r="E87" s="25" t="n"/>
      <c r="F87" s="3" t="inlineStr">
        <is>
          <t>AI SDLC</t>
        </is>
      </c>
      <c r="G87" s="26" t="n">
        <v>0</v>
      </c>
    </row>
    <row r="88" ht="15" customHeight="1" s="51">
      <c r="A88" s="3" t="n"/>
      <c r="B88" s="3" t="n"/>
      <c r="D88" s="3" t="inlineStr">
        <is>
          <t>Suma TL.4</t>
        </is>
      </c>
      <c r="E88" s="25" t="n"/>
      <c r="F88" s="3" t="n"/>
      <c r="H88" s="26">
        <f>SUM(G85:G87)</f>
        <v/>
      </c>
    </row>
    <row r="89" ht="15" customHeight="1" s="51">
      <c r="A89" s="3" t="n"/>
      <c r="B89" s="3" t="n"/>
      <c r="C89" s="11" t="n"/>
      <c r="D89" s="3" t="n"/>
      <c r="E89" s="30" t="n"/>
      <c r="F89" s="3" t="n"/>
    </row>
    <row r="90" ht="32" customHeight="1" s="51">
      <c r="A90" s="7" t="inlineStr">
        <is>
          <t>TL.5</t>
        </is>
      </c>
      <c r="B90" s="7" t="inlineStr">
        <is>
          <t>Analiza</t>
        </is>
      </c>
      <c r="C90" s="8" t="inlineStr">
        <is>
          <t>TL.5 - Instrukcja dla AI proponowania scenariusze w oparciu o analizę (ui, validacje, reguły, przykłady danych) (forma dla człowieka)</t>
        </is>
      </c>
      <c r="D90" s="7" t="inlineStr">
        <is>
          <t>Sekcja</t>
        </is>
      </c>
      <c r="E90" s="30" t="n"/>
      <c r="F90" s="3" t="n"/>
    </row>
    <row r="91" ht="15" customHeight="1" s="51">
      <c r="A91" s="3" t="n"/>
      <c r="B91" s="3" t="n"/>
      <c r="C91" s="53" t="inlineStr">
        <is>
          <t>AI proponuje scenariusze testowe czytelne dla człowieka na podstawie analizy - UI, validacje, reguły, przykłady danych. Analitycy otrzymują gotowy draft do akceptacji przed przekazaniem do testów.</t>
        </is>
      </c>
      <c r="D91" s="3" t="inlineStr">
        <is>
          <t>Opis</t>
        </is>
      </c>
      <c r="E91" s="30" t="n"/>
      <c r="F91" s="3" t="n"/>
    </row>
    <row r="92" ht="15" customHeight="1" s="51">
      <c r="A92" s="3" t="n"/>
      <c r="B92" s="3" t="n"/>
      <c r="D92" s="3" t="inlineStr">
        <is>
          <t>Przekazanie knowhow</t>
        </is>
      </c>
      <c r="E92" s="25" t="n"/>
      <c r="F92" s="3" t="inlineStr">
        <is>
          <t>knowhow</t>
        </is>
      </c>
      <c r="G92" s="26" t="n">
        <v>500</v>
      </c>
    </row>
    <row r="93" ht="15" customHeight="1" s="51">
      <c r="A93" s="3" t="n"/>
      <c r="B93" s="3" t="n"/>
      <c r="D93" s="3" t="inlineStr">
        <is>
          <t>Dostosowanie instrukcji AI do proponowania scenariuszy na podstawie analizy</t>
        </is>
      </c>
      <c r="E93" s="25" t="n"/>
      <c r="F93" s="3" t="inlineStr">
        <is>
          <t>AI SDLC</t>
        </is>
      </c>
      <c r="G93" s="26" t="n">
        <v>300</v>
      </c>
    </row>
    <row r="94" ht="15" customHeight="1" s="51">
      <c r="A94" s="3" t="n"/>
      <c r="B94" s="3" t="n"/>
      <c r="D94" s="3" t="inlineStr">
        <is>
          <t>Review prac po stronie</t>
        </is>
      </c>
      <c r="E94" s="25" t="n"/>
      <c r="F94" s="3" t="inlineStr">
        <is>
          <t>AI SDLC</t>
        </is>
      </c>
      <c r="G94" s="26" t="n">
        <v>225</v>
      </c>
    </row>
    <row r="95" ht="15" customHeight="1" s="51">
      <c r="A95" s="3" t="n"/>
      <c r="B95" s="3" t="n"/>
      <c r="D95" s="3" t="inlineStr">
        <is>
          <t>Suma TL.5</t>
        </is>
      </c>
      <c r="E95" s="25" t="n"/>
      <c r="F95" s="3" t="n"/>
      <c r="H95" s="26">
        <f>SUM(G92:G94)</f>
        <v/>
      </c>
    </row>
    <row r="96" ht="15" customHeight="1" s="51">
      <c r="A96" s="3" t="n"/>
      <c r="B96" s="3" t="n"/>
      <c r="C96" s="11" t="n"/>
      <c r="D96" s="3" t="n"/>
      <c r="E96" s="30" t="n"/>
      <c r="F96" s="3" t="n"/>
    </row>
    <row r="97" ht="15" customHeight="1" s="51">
      <c r="A97" s="3" t="n"/>
      <c r="B97" s="3" t="n"/>
      <c r="C97" s="11" t="n"/>
      <c r="D97" s="3" t="n"/>
      <c r="E97" s="30" t="n"/>
      <c r="F97" s="3" t="n"/>
    </row>
    <row r="98" ht="32" customHeight="1" s="51">
      <c r="A98" s="7" t="inlineStr">
        <is>
          <t>TL.29</t>
        </is>
      </c>
      <c r="B98" s="7" t="inlineStr">
        <is>
          <t>Analiza</t>
        </is>
      </c>
      <c r="C98" s="8" t="inlineStr">
        <is>
          <t>TL.29 - Integracja z Enterprise Architect (XMI export lub baza sqlserver lub Sparx Pro Cloud Service)</t>
        </is>
      </c>
      <c r="D98" s="7" t="inlineStr">
        <is>
          <t>Sekcja</t>
        </is>
      </c>
      <c r="E98" s="30" t="n"/>
      <c r="F98" s="3" t="n"/>
    </row>
    <row r="99" ht="15" customHeight="1" s="51">
      <c r="A99" s="3" t="n"/>
      <c r="B99" s="3" t="n"/>
      <c r="C99" s="53" t="inlineStr">
        <is>
          <t>Eksportujemy EA do formy przyjaznej AI (markdown + obrazy + indeks), aby wiedza dziedzinowa była wyszukiwalna. Raport impactu na zawartość Enterprise Architect.</t>
        </is>
      </c>
      <c r="D99" s="3" t="inlineStr">
        <is>
          <t>Opis</t>
        </is>
      </c>
      <c r="E99" s="30" t="n"/>
      <c r="F99" s="3" t="n"/>
    </row>
    <row r="100" ht="15" customHeight="1" s="51">
      <c r="A100" s="3" t="n"/>
      <c r="B100" s="3" t="n"/>
      <c r="D100" s="3" t="inlineStr">
        <is>
          <t>Przekazanie knowhow</t>
        </is>
      </c>
      <c r="E100" s="25" t="n"/>
      <c r="F100" s="3" t="inlineStr">
        <is>
          <t>knowhow</t>
        </is>
      </c>
      <c r="G100" s="26" t="n">
        <v>900</v>
      </c>
    </row>
    <row r="101" ht="15" customHeight="1" s="51">
      <c r="A101" s="3" t="n"/>
      <c r="B101" s="3" t="n"/>
      <c r="D101" s="3" t="inlineStr">
        <is>
          <t>Integracja z Enterprise Architect</t>
        </is>
      </c>
      <c r="E101" s="25" t="n"/>
      <c r="F101" s="3" t="inlineStr">
        <is>
          <t>AI SDLC</t>
        </is>
      </c>
      <c r="G101" s="26" t="n">
        <v>1250</v>
      </c>
    </row>
    <row r="102" ht="15" customHeight="1" s="51">
      <c r="A102" s="3" t="n"/>
      <c r="B102" s="3" t="n"/>
      <c r="D102" s="3" t="inlineStr">
        <is>
          <t>Review prac po stronie</t>
        </is>
      </c>
      <c r="E102" s="25" t="n"/>
      <c r="F102" s="3" t="inlineStr">
        <is>
          <t>AI SDLC</t>
        </is>
      </c>
      <c r="G102" s="26" t="n">
        <v>0</v>
      </c>
    </row>
    <row r="103" ht="15" customHeight="1" s="51">
      <c r="A103" s="3" t="n"/>
      <c r="B103" s="3" t="n"/>
      <c r="D103" s="3" t="inlineStr">
        <is>
          <t>Suma TL.29</t>
        </is>
      </c>
      <c r="E103" s="25" t="n"/>
      <c r="F103" s="3" t="n"/>
      <c r="H103" s="26">
        <f>SUM(G100:G102)</f>
        <v/>
      </c>
    </row>
    <row r="104" ht="15" customHeight="1" s="51">
      <c r="A104" s="3" t="n"/>
      <c r="B104" s="3" t="n"/>
      <c r="C104" s="11" t="n"/>
      <c r="D104" s="3" t="n"/>
      <c r="E104" s="30" t="n"/>
      <c r="F104" s="3" t="n"/>
    </row>
    <row r="105" ht="32" customHeight="1" s="51">
      <c r="A105" s="7" t="inlineStr">
        <is>
          <t>TL.30</t>
        </is>
      </c>
      <c r="B105" s="7" t="inlineStr">
        <is>
          <t>Analiza</t>
        </is>
      </c>
      <c r="C105" s="8" t="inlineStr">
        <is>
          <t>TL.30 - Sformułowanie zmian w Projekcie (dokumentacja analityczna) w speckę dla AI</t>
        </is>
      </c>
      <c r="D105" s="7" t="inlineStr">
        <is>
          <t>Sekcja</t>
        </is>
      </c>
      <c r="E105" s="30" t="n"/>
      <c r="F105" s="3" t="n"/>
    </row>
    <row r="106" ht="15" customHeight="1" s="51">
      <c r="A106" s="3" t="n"/>
      <c r="B106" s="3" t="n"/>
      <c r="C106" s="53" t="inlineStr">
        <is>
          <t>Dokumentacja analityczna jest automatycznie przekształcana w specyfikację dla AI, która rozumie kontekst biznesowy i może generować kod zgodny z intencją.</t>
        </is>
      </c>
      <c r="D106" s="3" t="inlineStr">
        <is>
          <t>Opis</t>
        </is>
      </c>
      <c r="E106" s="30" t="n"/>
      <c r="F106" s="3" t="n"/>
    </row>
    <row r="107" ht="15" customHeight="1" s="51">
      <c r="A107" s="3" t="n"/>
      <c r="B107" s="3" t="n"/>
      <c r="D107" s="3" t="inlineStr">
        <is>
          <t>Przekazanie knowhow</t>
        </is>
      </c>
      <c r="E107" s="25" t="n"/>
      <c r="F107" s="3" t="inlineStr">
        <is>
          <t>knowhow</t>
        </is>
      </c>
      <c r="G107" s="26" t="n">
        <v>1250</v>
      </c>
    </row>
    <row r="108" ht="15" customHeight="1" s="51">
      <c r="A108" s="3" t="n"/>
      <c r="B108" s="3" t="n"/>
      <c r="D108" s="3" t="inlineStr">
        <is>
          <t>Przekształcenie dokumentacji analitycznej w specyfikację dla AI</t>
        </is>
      </c>
      <c r="E108" s="25" t="n"/>
      <c r="F108" s="3" t="inlineStr">
        <is>
          <t>AI SDLC</t>
        </is>
      </c>
      <c r="G108" s="26" t="n">
        <v>2000</v>
      </c>
    </row>
    <row r="109" ht="15" customHeight="1" s="51">
      <c r="A109" s="3" t="n"/>
      <c r="B109" s="3" t="n"/>
      <c r="D109" s="3" t="inlineStr">
        <is>
          <t>Review prac po stronie</t>
        </is>
      </c>
      <c r="E109" s="25" t="n"/>
      <c r="F109" s="3" t="inlineStr">
        <is>
          <t>AI SDLC</t>
        </is>
      </c>
      <c r="G109" s="26" t="n">
        <v>500</v>
      </c>
    </row>
    <row r="110" ht="15" customHeight="1" s="51">
      <c r="A110" s="3" t="n"/>
      <c r="B110" s="3" t="n"/>
      <c r="D110" s="3" t="inlineStr">
        <is>
          <t>Suma TL.30</t>
        </is>
      </c>
      <c r="E110" s="25" t="n"/>
      <c r="F110" s="3" t="n"/>
      <c r="H110" s="26">
        <f>SUM(G107:G109)</f>
        <v/>
      </c>
    </row>
    <row r="111" ht="15" customHeight="1" s="51">
      <c r="A111" s="3" t="n"/>
      <c r="B111" s="3" t="n"/>
      <c r="C111" s="11" t="n"/>
      <c r="D111" s="3" t="n"/>
      <c r="E111" s="30" t="n"/>
      <c r="F111" s="3" t="n"/>
    </row>
    <row r="112" ht="32" customHeight="1" s="51">
      <c r="A112" s="7" t="inlineStr">
        <is>
          <t>TL.6 [Development]</t>
        </is>
      </c>
      <c r="B112" s="7" t="inlineStr">
        <is>
          <t>Development</t>
        </is>
      </c>
      <c r="C112" s="8" t="inlineStr">
        <is>
          <t>TL.6 [Development] - Reverse Engineering mapowania funkcjonalność na kod / architekturę (funkcjonalność -&gt; UI -&gt; Beans -&gt; baza danych)</t>
        </is>
      </c>
      <c r="D112" s="7" t="inlineStr">
        <is>
          <t>Sekcja</t>
        </is>
      </c>
      <c r="E112" s="30" t="n"/>
      <c r="F112" s="3" t="n"/>
    </row>
    <row r="113" ht="15" customHeight="1" s="51">
      <c r="A113" s="3" t="n"/>
      <c r="B113" s="3" t="n"/>
      <c r="C113" s="53" t="inlineStr">
        <is>
          <t>AI mapuje funkcjonalność na kod i architekturę (UI → Beans → baza danych), pozwalając developerom szybko zrozumieć, gdzie dokonać zmian i jakie będą tego konsekwencje.</t>
        </is>
      </c>
      <c r="D113" s="3" t="inlineStr">
        <is>
          <t>Opis</t>
        </is>
      </c>
      <c r="E113" s="30" t="n"/>
      <c r="F113" s="3" t="n"/>
    </row>
    <row r="114" ht="15" customHeight="1" s="51">
      <c r="A114" s="3" t="n"/>
      <c r="B114" s="3" t="n"/>
      <c r="D114" s="3" t="inlineStr">
        <is>
          <t>Przekazanie knowhow</t>
        </is>
      </c>
      <c r="E114" s="25" t="n"/>
      <c r="F114" s="3" t="inlineStr">
        <is>
          <t>knowhow</t>
        </is>
      </c>
      <c r="G114" s="26" t="n">
        <v>800</v>
      </c>
    </row>
    <row r="115" ht="15" customHeight="1" s="51">
      <c r="A115" s="3" t="n"/>
      <c r="B115" s="3" t="n"/>
      <c r="D115" s="3" t="inlineStr">
        <is>
          <t>Wykonanie reverse engineering mapowania funkcjonalności na kod i architekturę</t>
        </is>
      </c>
      <c r="E115" s="25" t="n"/>
      <c r="F115" s="3" t="inlineStr">
        <is>
          <t>AI SDLC</t>
        </is>
      </c>
      <c r="G115" s="26" t="n">
        <v>800</v>
      </c>
    </row>
    <row r="116" ht="15" customHeight="1" s="51">
      <c r="A116" s="3" t="n"/>
      <c r="B116" s="3" t="n"/>
      <c r="D116" s="3" t="inlineStr">
        <is>
          <t>Review prac po stronie</t>
        </is>
      </c>
      <c r="E116" s="25" t="n"/>
      <c r="F116" s="3" t="inlineStr">
        <is>
          <t>AI SDLC</t>
        </is>
      </c>
      <c r="G116" s="26" t="n">
        <v>600</v>
      </c>
    </row>
    <row r="117" ht="15" customHeight="1" s="51">
      <c r="A117" s="3" t="n"/>
      <c r="B117" s="3" t="n"/>
      <c r="D117" s="3" t="inlineStr">
        <is>
          <t>Suma TL.6 [Development]</t>
        </is>
      </c>
      <c r="E117" s="25" t="n"/>
      <c r="F117" s="3" t="n"/>
      <c r="H117" s="26">
        <f>SUM(G114:G116)</f>
        <v/>
      </c>
    </row>
    <row r="118" ht="15" customHeight="1" s="51">
      <c r="A118" s="3" t="n"/>
      <c r="B118" s="3" t="n"/>
      <c r="C118" s="11" t="n"/>
      <c r="D118" s="3" t="n"/>
      <c r="E118" s="30" t="n"/>
      <c r="F118" s="3" t="n"/>
    </row>
    <row r="119" ht="32" customHeight="1" s="51">
      <c r="A119" s="7" t="inlineStr">
        <is>
          <t>TL.9</t>
        </is>
      </c>
      <c r="B119" s="7" t="inlineStr">
        <is>
          <t>Development</t>
        </is>
      </c>
      <c r="C119" s="8" t="inlineStr">
        <is>
          <t>TL.9 - Integracja AI z bazą oracle (readonly), analiza modelu, odpytywanie o przykładowe dane (dowolne dopuszczone środowisko np: testowe)</t>
        </is>
      </c>
      <c r="D119" s="7" t="inlineStr">
        <is>
          <t>Sekcja</t>
        </is>
      </c>
      <c r="E119" s="30" t="n"/>
      <c r="F119" s="3" t="n"/>
    </row>
    <row r="120" ht="15" customHeight="1" s="51">
      <c r="A120" s="3" t="n"/>
      <c r="B120" s="3" t="n"/>
      <c r="C120" s="53" t="inlineStr">
        <is>
          <t>Developerzy mogą poprzez agenta odpytywać bazę Oracle o przykładowe dane, weryfikować zmiany po teście. Skraca to czas weryfikacji i troubleshootingu.</t>
        </is>
      </c>
      <c r="D120" s="3" t="inlineStr">
        <is>
          <t>Opis</t>
        </is>
      </c>
      <c r="E120" s="30" t="n"/>
      <c r="F120" s="3" t="n"/>
    </row>
    <row r="121" ht="15" customHeight="1" s="51">
      <c r="A121" s="3" t="n"/>
      <c r="B121" s="3" t="n"/>
      <c r="D121" s="3" t="inlineStr">
        <is>
          <t>Przekazanie knowhow</t>
        </is>
      </c>
      <c r="E121" s="25" t="n"/>
      <c r="F121" s="3" t="inlineStr">
        <is>
          <t>knowhow</t>
        </is>
      </c>
      <c r="G121" s="26" t="n">
        <v>500</v>
      </c>
    </row>
    <row r="122" ht="15" customHeight="1" s="51">
      <c r="A122" s="3" t="n"/>
      <c r="B122" s="3" t="n"/>
      <c r="D122" s="3" t="inlineStr">
        <is>
          <t>Integracja AI z bazą Oracle i dostosowanie do projektu</t>
        </is>
      </c>
      <c r="E122" s="25" t="n"/>
      <c r="F122" s="3" t="inlineStr">
        <is>
          <t>AI SDLC</t>
        </is>
      </c>
      <c r="G122" s="26" t="n">
        <v>800</v>
      </c>
    </row>
    <row r="123" ht="15" customHeight="1" s="51">
      <c r="A123" s="3" t="n"/>
      <c r="B123" s="3" t="n"/>
      <c r="D123" s="3" t="inlineStr">
        <is>
          <t>Review prac po stronie</t>
        </is>
      </c>
      <c r="E123" s="25" t="n"/>
      <c r="F123" s="3" t="inlineStr">
        <is>
          <t>AI SDLC</t>
        </is>
      </c>
      <c r="G123" s="26" t="n">
        <v>600</v>
      </c>
    </row>
    <row r="124" ht="15" customHeight="1" s="51">
      <c r="A124" s="3" t="n"/>
      <c r="B124" s="3" t="n"/>
      <c r="D124" s="3" t="inlineStr">
        <is>
          <t>Suma TL.9</t>
        </is>
      </c>
      <c r="E124" s="25" t="n"/>
      <c r="F124" s="3" t="n"/>
      <c r="H124" s="26">
        <f>SUM(G121:G123)</f>
        <v/>
      </c>
    </row>
    <row r="125" ht="15" customHeight="1" s="51">
      <c r="A125" s="3" t="n"/>
      <c r="B125" s="3" t="n"/>
      <c r="C125" s="11" t="n"/>
      <c r="D125" s="3" t="n"/>
      <c r="E125" s="30" t="n"/>
      <c r="F125" s="3" t="n"/>
    </row>
    <row r="126" ht="16" customHeight="1" s="51">
      <c r="A126" s="7" t="inlineStr">
        <is>
          <t>TL.10</t>
        </is>
      </c>
      <c r="B126" s="7" t="inlineStr">
        <is>
          <t>Development</t>
        </is>
      </c>
      <c r="C126" s="8" t="inlineStr">
        <is>
          <t>TL.10 - Reverse Engineering zasad architektonicznych</t>
        </is>
      </c>
      <c r="D126" s="7" t="inlineStr">
        <is>
          <t>Sekcja</t>
        </is>
      </c>
      <c r="E126" s="30" t="n"/>
      <c r="F126" s="3" t="n"/>
    </row>
    <row r="127" ht="15" customHeight="1" s="51">
      <c r="A127" s="3" t="n"/>
      <c r="B127" s="3" t="n"/>
      <c r="C127" s="53" t="inlineStr">
        <is>
          <t>AI bada istniejący kod i wyodrębnia zasady architektoniczne - jak prawidłowo tworzyć: Beana, encje, procedury składowane i exception handling, formularze, tabelki, nazewnictwo, elementy common. Dodatkowe instrukcja uświadamiające AI odnośnie hacków primefaces. Developerzy otrzymują jasne wytyczne zgodne z przyjętymi standardami.</t>
        </is>
      </c>
      <c r="D127" s="3" t="inlineStr">
        <is>
          <t>Opis</t>
        </is>
      </c>
      <c r="E127" s="30" t="n"/>
      <c r="F127" s="3" t="n"/>
    </row>
    <row r="128" ht="15" customHeight="1" s="51">
      <c r="A128" s="3" t="n"/>
      <c r="B128" s="3" t="n"/>
      <c r="D128" s="3" t="inlineStr">
        <is>
          <t>Przekazanie knowhow</t>
        </is>
      </c>
      <c r="E128" s="25" t="n"/>
      <c r="F128" s="3" t="inlineStr">
        <is>
          <t>knowhow</t>
        </is>
      </c>
      <c r="G128" s="26" t="n">
        <v>800</v>
      </c>
    </row>
    <row r="129" ht="15" customHeight="1" s="51">
      <c r="A129" s="3" t="n"/>
      <c r="B129" s="3" t="n"/>
      <c r="D129" s="3" t="inlineStr">
        <is>
          <t>Wykonanie reverse engineering zasad architektonicznych</t>
        </is>
      </c>
      <c r="E129" s="25" t="n"/>
      <c r="F129" s="3" t="inlineStr">
        <is>
          <t>AI SDLC</t>
        </is>
      </c>
      <c r="G129" s="26" t="n">
        <v>800</v>
      </c>
    </row>
    <row r="130" ht="15" customHeight="1" s="51">
      <c r="A130" s="3" t="n"/>
      <c r="B130" s="3" t="n"/>
      <c r="D130" s="3" t="inlineStr">
        <is>
          <t>Review prac po stronie</t>
        </is>
      </c>
      <c r="E130" s="25" t="n"/>
      <c r="F130" s="3" t="inlineStr">
        <is>
          <t>AI SDLC</t>
        </is>
      </c>
      <c r="G130" s="26" t="n">
        <v>600</v>
      </c>
    </row>
    <row r="131" ht="15" customHeight="1" s="51">
      <c r="A131" s="3" t="n"/>
      <c r="B131" s="3" t="n"/>
      <c r="D131" s="3" t="inlineStr">
        <is>
          <t>Suma TL.10</t>
        </is>
      </c>
      <c r="E131" s="25" t="n"/>
      <c r="F131" s="3" t="n"/>
      <c r="H131" s="26">
        <f>SUM(G128:G130)</f>
        <v/>
      </c>
    </row>
    <row r="132" ht="15" customHeight="1" s="51">
      <c r="A132" s="3" t="n"/>
      <c r="B132" s="3" t="n"/>
      <c r="C132" s="11" t="n"/>
      <c r="D132" s="3" t="n"/>
      <c r="E132" s="30" t="n"/>
      <c r="F132" s="3" t="n"/>
    </row>
    <row r="133" ht="32" customHeight="1" s="51">
      <c r="A133" s="7" t="inlineStr">
        <is>
          <t>TL.13</t>
        </is>
      </c>
      <c r="B133" s="7" t="inlineStr">
        <is>
          <t>Development</t>
        </is>
      </c>
      <c r="C133" s="8" t="inlineStr">
        <is>
          <t>TL.13 - AI może robić hot swap kodu / uruchomienie / re deploy + wgląd w logi (tak jak dziś developer)</t>
        </is>
      </c>
      <c r="D133" s="7" t="inlineStr">
        <is>
          <t>Sekcja</t>
        </is>
      </c>
      <c r="E133" s="30" t="n"/>
      <c r="F133" s="3" t="n"/>
    </row>
    <row r="134" ht="15" customHeight="1" s="51">
      <c r="A134" s="3" t="n"/>
      <c r="B134" s="3" t="n"/>
      <c r="C134" s="53" t="inlineStr">
        <is>
          <t>AI wykonuje hot swap kodu, uruchomienie i re-deploy oraz ma wgląd w logi - działa jak doświadczony developer. Skraca to czas między implementacją a weryfikacją zmian.</t>
        </is>
      </c>
      <c r="D134" s="3" t="inlineStr">
        <is>
          <t>Opis</t>
        </is>
      </c>
      <c r="E134" s="30" t="n"/>
      <c r="F134" s="3" t="n"/>
    </row>
    <row r="135" ht="15" customHeight="1" s="51">
      <c r="A135" s="3" t="n"/>
      <c r="B135" s="3" t="n"/>
      <c r="D135" s="3" t="inlineStr">
        <is>
          <t>Przekazanie knowhow</t>
        </is>
      </c>
      <c r="E135" s="25" t="n"/>
      <c r="F135" s="3" t="inlineStr">
        <is>
          <t>knowhow</t>
        </is>
      </c>
      <c r="G135" s="26" t="n">
        <v>500</v>
      </c>
    </row>
    <row r="136" ht="15" customHeight="1" s="51">
      <c r="A136" s="3" t="n"/>
      <c r="B136" s="3" t="n"/>
      <c r="D136" s="3" t="inlineStr">
        <is>
          <t>Przygotowanie skilla</t>
        </is>
      </c>
      <c r="E136" s="25" t="n"/>
      <c r="F136" s="3" t="inlineStr">
        <is>
          <t>AI SDLC</t>
        </is>
      </c>
      <c r="G136" s="26" t="n">
        <v>2000</v>
      </c>
    </row>
    <row r="137" ht="15" customHeight="1" s="51">
      <c r="A137" s="3" t="n"/>
      <c r="B137" s="3" t="n"/>
      <c r="D137" s="3" t="inlineStr">
        <is>
          <t>Review prac po stronie</t>
        </is>
      </c>
      <c r="E137" s="25" t="n"/>
      <c r="F137" s="3" t="inlineStr">
        <is>
          <t>AI SDLC</t>
        </is>
      </c>
      <c r="G137" s="26" t="n">
        <v>375</v>
      </c>
    </row>
    <row r="138" ht="15" customHeight="1" s="51">
      <c r="A138" s="3" t="n"/>
      <c r="B138" s="3" t="n"/>
      <c r="D138" s="3" t="inlineStr">
        <is>
          <t>Suma TL.13</t>
        </is>
      </c>
      <c r="E138" s="25" t="n"/>
      <c r="F138" s="3" t="n"/>
      <c r="H138" s="26">
        <f>SUM(G135:G137)</f>
        <v/>
      </c>
    </row>
    <row r="139" ht="15" customHeight="1" s="51">
      <c r="A139" s="3" t="n"/>
      <c r="B139" s="3" t="n"/>
      <c r="C139" s="11" t="n"/>
      <c r="D139" s="3" t="n"/>
      <c r="E139" s="30" t="n"/>
      <c r="F139" s="3" t="n"/>
    </row>
    <row r="140" ht="16" customHeight="1" s="51">
      <c r="A140" s="7" t="inlineStr">
        <is>
          <t>TL.14</t>
        </is>
      </c>
      <c r="B140" s="7" t="inlineStr">
        <is>
          <t>Development</t>
        </is>
      </c>
      <c r="C140" s="8" t="inlineStr">
        <is>
          <t>TL.14 - AI może uruchomić pipeline z Jenkins + wgląd w logi</t>
        </is>
      </c>
      <c r="D140" s="7" t="inlineStr">
        <is>
          <t>Sekcja</t>
        </is>
      </c>
      <c r="E140" s="30" t="n"/>
      <c r="F140" s="3" t="n"/>
    </row>
    <row r="141" ht="15" customHeight="1" s="51">
      <c r="A141" s="3" t="n"/>
      <c r="B141" s="3" t="n"/>
      <c r="C141" s="53" t="inlineStr">
        <is>
          <t>AI orkiestruje istniejące build/deploy/test przez Jenkins i daje wiarygodny feedback po tym samym flow. Nie budujemy osobnego CI/CD - wykorzystujemy istniejącą infrastrukturę.</t>
        </is>
      </c>
      <c r="D141" s="3" t="inlineStr">
        <is>
          <t>Opis</t>
        </is>
      </c>
      <c r="E141" s="30" t="n"/>
      <c r="F141" s="3" t="n"/>
    </row>
    <row r="142" ht="15" customHeight="1" s="51">
      <c r="A142" s="3" t="n"/>
      <c r="B142" s="3" t="n"/>
      <c r="D142" s="3" t="inlineStr">
        <is>
          <t>Przekazanie knowhow</t>
        </is>
      </c>
      <c r="E142" s="25" t="n"/>
      <c r="F142" s="3" t="inlineStr">
        <is>
          <t>knowhow</t>
        </is>
      </c>
      <c r="G142" s="26" t="n">
        <v>0</v>
      </c>
    </row>
    <row r="143" ht="15" customHeight="1" s="51">
      <c r="A143" s="3" t="n"/>
      <c r="B143" s="3" t="n"/>
      <c r="D143" s="3" t="inlineStr">
        <is>
          <t>Integracja AI z pipeline Jenkins oraz logami</t>
        </is>
      </c>
      <c r="E143" s="25" t="n"/>
      <c r="F143" s="3" t="inlineStr">
        <is>
          <t>AI SDLC</t>
        </is>
      </c>
      <c r="G143" s="26" t="n">
        <v>500</v>
      </c>
    </row>
    <row r="144" ht="15" customHeight="1" s="51">
      <c r="A144" s="3" t="n"/>
      <c r="B144" s="3" t="n"/>
      <c r="D144" s="3" t="inlineStr">
        <is>
          <t>Review prac po stronie</t>
        </is>
      </c>
      <c r="E144" s="25" t="n"/>
      <c r="F144" s="3" t="inlineStr">
        <is>
          <t>AI SDLC</t>
        </is>
      </c>
      <c r="G144" s="26" t="n">
        <v>375</v>
      </c>
    </row>
    <row r="145" ht="15" customHeight="1" s="51">
      <c r="A145" s="3" t="n"/>
      <c r="B145" s="3" t="n"/>
      <c r="D145" s="3" t="inlineStr">
        <is>
          <t>Suma TL.14</t>
        </is>
      </c>
      <c r="E145" s="25" t="n"/>
      <c r="F145" s="3" t="n"/>
      <c r="H145" s="26">
        <f>SUM(G142:G144)</f>
        <v/>
      </c>
    </row>
    <row r="146" ht="15" customHeight="1" s="51">
      <c r="A146" s="3" t="n"/>
      <c r="B146" s="3" t="n"/>
      <c r="C146" s="11" t="n"/>
      <c r="D146" s="3" t="n"/>
      <c r="E146" s="30" t="n"/>
      <c r="F146" s="3" t="n"/>
    </row>
    <row r="147" ht="32" customHeight="1" s="51">
      <c r="A147" s="7" t="inlineStr">
        <is>
          <t>TL.31</t>
        </is>
      </c>
      <c r="B147" s="7" t="inlineStr">
        <is>
          <t>Development</t>
        </is>
      </c>
      <c r="C147" s="8" t="inlineStr">
        <is>
          <t>TL.31 - AI lokalny troubleshooting (wgląd w logi, bazę, instrukcje co sprawdzać po kolei)</t>
        </is>
      </c>
      <c r="D147" s="7" t="inlineStr">
        <is>
          <t>Sekcja</t>
        </is>
      </c>
      <c r="E147" s="30" t="n"/>
      <c r="F147" s="3" t="n"/>
    </row>
    <row r="148" ht="15" customHeight="1" s="51">
      <c r="A148" s="3" t="n"/>
      <c r="B148" s="3" t="n"/>
      <c r="C148" s="53" t="inlineStr">
        <is>
          <t>Agent samodzielnie diagnozuje problemy - sprawdza logi, bazę danych i wykonuje kolejne kroki diagnostyczne. Developerzy zyskują szybką pomoc bez ręcznego przeszukiwania wielu źródeł.</t>
        </is>
      </c>
      <c r="D148" s="3" t="inlineStr">
        <is>
          <t>Opis</t>
        </is>
      </c>
      <c r="E148" s="30" t="n"/>
      <c r="F148" s="3" t="n"/>
    </row>
    <row r="149" ht="15" customHeight="1" s="51">
      <c r="A149" s="3" t="n"/>
      <c r="B149" s="3" t="n"/>
      <c r="D149" s="3" t="inlineStr">
        <is>
          <t>Przekazanie knowhow</t>
        </is>
      </c>
      <c r="E149" s="25" t="n"/>
      <c r="F149" s="3" t="inlineStr">
        <is>
          <t>knowhow</t>
        </is>
      </c>
      <c r="G149" s="26" t="n">
        <v>500</v>
      </c>
    </row>
    <row r="150" ht="15" customHeight="1" s="51">
      <c r="A150" s="3" t="n"/>
      <c r="B150" s="3" t="n"/>
      <c r="D150" s="3" t="inlineStr">
        <is>
          <t>Przygotowanie lokalnego troubleshootingu AI</t>
        </is>
      </c>
      <c r="E150" s="25" t="n"/>
      <c r="F150" s="3" t="inlineStr">
        <is>
          <t>AI SDLC</t>
        </is>
      </c>
      <c r="G150" s="26" t="n">
        <v>1125</v>
      </c>
    </row>
    <row r="151" ht="15" customHeight="1" s="51">
      <c r="A151" s="3" t="n"/>
      <c r="B151" s="3" t="n"/>
      <c r="D151" s="3" t="inlineStr">
        <is>
          <t>Review prac po stronie</t>
        </is>
      </c>
      <c r="E151" s="25" t="n"/>
      <c r="F151" s="3" t="inlineStr">
        <is>
          <t>AI SDLC</t>
        </is>
      </c>
      <c r="G151" s="26" t="n">
        <v>375</v>
      </c>
    </row>
    <row r="152" ht="15" customHeight="1" s="51">
      <c r="A152" s="3" t="n"/>
      <c r="B152" s="3" t="n"/>
      <c r="D152" s="3" t="inlineStr">
        <is>
          <t>Suma TL.31</t>
        </is>
      </c>
      <c r="E152" s="25" t="n"/>
      <c r="F152" s="3" t="n"/>
      <c r="H152" s="26">
        <f>SUM(G149:G151)</f>
        <v/>
      </c>
    </row>
    <row r="153" ht="15" customHeight="1" s="51">
      <c r="A153" s="3" t="n"/>
      <c r="B153" s="3" t="n"/>
      <c r="C153" s="11" t="n"/>
      <c r="D153" s="3" t="n"/>
      <c r="E153" s="30" t="n"/>
      <c r="F153" s="3" t="n"/>
    </row>
    <row r="154" ht="32" customHeight="1" s="51">
      <c r="A154" s="7" t="inlineStr">
        <is>
          <t>TL.32</t>
        </is>
      </c>
      <c r="B154" s="7" t="inlineStr">
        <is>
          <t>Development</t>
        </is>
      </c>
      <c r="C154" s="8" t="inlineStr">
        <is>
          <t>TL.32 - Tool dla AI do interakcji z remote beans (wywoływanie requestów przez agenta na środowisku dev dla smoke test / troubleshooting)</t>
        </is>
      </c>
      <c r="D154" s="7" t="inlineStr">
        <is>
          <t>Sekcja</t>
        </is>
      </c>
      <c r="E154" s="30" t="n"/>
      <c r="F154" s="3" t="n"/>
    </row>
    <row r="155" ht="15" customHeight="1" s="51">
      <c r="A155" s="3" t="n"/>
      <c r="B155" s="3" t="n"/>
      <c r="C155" s="53" t="inlineStr">
        <is>
          <t>AI może wywoływać requesty do remote beans na środowisku dev, wykonując smoke testy i troubleshooting bezpośrednio z poziomu agenta.</t>
        </is>
      </c>
      <c r="D155" s="3" t="inlineStr">
        <is>
          <t>Opis</t>
        </is>
      </c>
      <c r="E155" s="30" t="n"/>
      <c r="F155" s="3" t="n"/>
    </row>
    <row r="156" ht="15" customHeight="1" s="51">
      <c r="A156" s="3" t="n"/>
      <c r="B156" s="3" t="n"/>
      <c r="D156" s="3" t="inlineStr">
        <is>
          <t>Przekazanie knowhow</t>
        </is>
      </c>
      <c r="E156" s="25" t="n"/>
      <c r="F156" s="3" t="inlineStr">
        <is>
          <t>knowhow</t>
        </is>
      </c>
      <c r="G156" s="26" t="n">
        <v>500</v>
      </c>
    </row>
    <row r="157" ht="15" customHeight="1" s="51">
      <c r="A157" s="3" t="n"/>
      <c r="B157" s="3" t="n"/>
      <c r="D157" s="3" t="inlineStr">
        <is>
          <t>Dostosowanie  narzędzia AI do interakcji z remote beans</t>
        </is>
      </c>
      <c r="E157" s="25" t="n"/>
      <c r="F157" s="3" t="inlineStr">
        <is>
          <t>AI SDLC</t>
        </is>
      </c>
      <c r="G157" s="26" t="n">
        <v>1000</v>
      </c>
    </row>
    <row r="158" ht="15" customHeight="1" s="51">
      <c r="A158" s="3" t="n"/>
      <c r="B158" s="3" t="n"/>
      <c r="D158" s="3" t="inlineStr">
        <is>
          <t>Review prac po stronie</t>
        </is>
      </c>
      <c r="E158" s="25" t="n"/>
      <c r="F158" s="3" t="inlineStr">
        <is>
          <t>AI SDLC</t>
        </is>
      </c>
      <c r="G158" s="26" t="n">
        <v>375</v>
      </c>
    </row>
    <row r="159" ht="15" customHeight="1" s="51">
      <c r="A159" s="3" t="n"/>
      <c r="B159" s="3" t="n"/>
      <c r="D159" s="3" t="inlineStr">
        <is>
          <t>Suma TL.32</t>
        </is>
      </c>
      <c r="E159" s="25" t="n"/>
      <c r="F159" s="3" t="n"/>
      <c r="H159" s="26">
        <f>SUM(G156:G158)</f>
        <v/>
      </c>
    </row>
    <row r="160" ht="15" customHeight="1" s="51">
      <c r="A160" s="3" t="n"/>
      <c r="B160" s="3" t="n"/>
      <c r="C160" s="11" t="n"/>
      <c r="D160" s="3" t="n"/>
      <c r="E160" s="30" t="n"/>
      <c r="F160" s="3" t="n"/>
    </row>
    <row r="161" ht="32" customHeight="1" s="51">
      <c r="A161" s="7" t="inlineStr">
        <is>
          <t>TL.11</t>
        </is>
      </c>
      <c r="B161" s="7" t="inlineStr">
        <is>
          <t>Review kodu</t>
        </is>
      </c>
      <c r="C161" s="8" t="inlineStr">
        <is>
          <t>TL.11 - Instrukcje oceniające zmiany / Review zbiorcze w pipeline (wszystkie skile "AI Review ..." + narzędzia deterministyczne + publikacja do review tool)</t>
        </is>
      </c>
      <c r="D161" s="7" t="inlineStr">
        <is>
          <t>Sekcja</t>
        </is>
      </c>
      <c r="E161" s="30" t="n"/>
      <c r="F161" s="3" t="n"/>
    </row>
    <row r="162" ht="15" customHeight="1" s="51">
      <c r="A162" s="3" t="n"/>
      <c r="B162" s="3" t="n"/>
      <c r="C162" s="53" t="inlineStr">
        <is>
          <t>AI ocenia zmiany pod szeregiem kryteriów (szczegóły w następnych punktach) i wystawia komentarze review.</t>
        </is>
      </c>
      <c r="D162" s="3" t="inlineStr">
        <is>
          <t>Opis</t>
        </is>
      </c>
      <c r="E162" s="30" t="n"/>
      <c r="F162" s="3" t="n"/>
    </row>
    <row r="163" ht="15" customHeight="1" s="51">
      <c r="A163" s="3" t="n"/>
      <c r="B163" s="3" t="n"/>
      <c r="D163" s="3" t="inlineStr">
        <is>
          <t>Przekazanie knowhow</t>
        </is>
      </c>
      <c r="E163" s="25" t="n"/>
      <c r="F163" s="3" t="inlineStr">
        <is>
          <t>knowhow</t>
        </is>
      </c>
      <c r="G163" s="26" t="n">
        <v>500</v>
      </c>
    </row>
    <row r="164" ht="15" customHeight="1" s="51">
      <c r="A164" s="3" t="n"/>
      <c r="B164" s="3" t="n"/>
      <c r="D164" s="3" t="inlineStr">
        <is>
          <t>Dostosowanie  instrukcji do zbiorczego review zmian w pipeline</t>
        </is>
      </c>
      <c r="E164" s="25" t="n"/>
      <c r="F164" s="3" t="inlineStr">
        <is>
          <t>AI SDLC</t>
        </is>
      </c>
      <c r="G164" s="26" t="n">
        <v>1000</v>
      </c>
    </row>
    <row r="165" ht="15" customHeight="1" s="51">
      <c r="A165" s="3" t="n"/>
      <c r="B165" s="3" t="n"/>
      <c r="D165" s="3" t="inlineStr">
        <is>
          <t>Review prac po stronie</t>
        </is>
      </c>
      <c r="E165" s="25" t="n"/>
      <c r="F165" s="3" t="inlineStr">
        <is>
          <t>AI SDLC</t>
        </is>
      </c>
      <c r="G165" s="26" t="n">
        <v>375</v>
      </c>
    </row>
    <row r="166" ht="15" customHeight="1" s="51">
      <c r="A166" s="3" t="n"/>
      <c r="B166" s="3" t="n"/>
      <c r="D166" s="3" t="inlineStr">
        <is>
          <t>Suma TL.11</t>
        </is>
      </c>
      <c r="E166" s="25" t="n"/>
      <c r="F166" s="3" t="n"/>
      <c r="H166" s="26">
        <f>SUM(G163:G165)</f>
        <v/>
      </c>
    </row>
    <row r="167" ht="15" customHeight="1" s="51">
      <c r="A167" s="3" t="n"/>
      <c r="B167" s="3" t="n"/>
      <c r="C167" s="11" t="n"/>
      <c r="D167" s="3" t="n"/>
      <c r="E167" s="30" t="n"/>
      <c r="F167" s="3" t="n"/>
    </row>
    <row r="168" ht="16" customHeight="1" s="51">
      <c r="A168" s="7" t="inlineStr">
        <is>
          <t>TL.15</t>
        </is>
      </c>
      <c r="B168" s="7" t="inlineStr">
        <is>
          <t>Review kodu</t>
        </is>
      </c>
      <c r="C168" s="8" t="inlineStr">
        <is>
          <t>TL.15 - AI Review potential bugs (przyrostowe sprawdzenie w nowym kodzie)</t>
        </is>
      </c>
      <c r="D168" s="7" t="inlineStr">
        <is>
          <t>Sekcja</t>
        </is>
      </c>
      <c r="E168" s="30" t="n"/>
      <c r="F168" s="3" t="n"/>
    </row>
    <row r="169" ht="15" customHeight="1" s="51">
      <c r="A169" s="3" t="n"/>
      <c r="B169" s="3" t="n"/>
      <c r="C169" s="53" t="inlineStr">
        <is>
          <t>Przyrostowe sprawdzenie nowego kodu pod kątem potencjalnych bugów. AI wykrywa miejsca ryzyka zanim kod trafi do review innych developerów. Do wywołania lokalnie przez developera i w ramach CI w zbiorczym review.</t>
        </is>
      </c>
      <c r="D169" s="3" t="inlineStr">
        <is>
          <t>Opis</t>
        </is>
      </c>
      <c r="E169" s="30" t="n"/>
      <c r="F169" s="3" t="n"/>
    </row>
    <row r="170" ht="15" customHeight="1" s="51">
      <c r="A170" s="3" t="n"/>
      <c r="B170" s="3" t="n"/>
      <c r="D170" s="3" t="inlineStr">
        <is>
          <t>Przekazanie knowhow</t>
        </is>
      </c>
      <c r="E170" s="25" t="n"/>
      <c r="F170" s="3" t="inlineStr">
        <is>
          <t>knowhow</t>
        </is>
      </c>
      <c r="G170" s="26" t="n">
        <v>400</v>
      </c>
    </row>
    <row r="171" ht="15" customHeight="1" s="51">
      <c r="A171" s="3" t="n"/>
      <c r="B171" s="3" t="n"/>
      <c r="D171" s="3" t="inlineStr">
        <is>
          <t>Przygotowanie AI review potential bugs</t>
        </is>
      </c>
      <c r="E171" s="25" t="n"/>
      <c r="F171" s="3" t="inlineStr">
        <is>
          <t>AI SDLC</t>
        </is>
      </c>
      <c r="G171" s="26" t="n">
        <v>0</v>
      </c>
    </row>
    <row r="172" ht="15" customHeight="1" s="51">
      <c r="A172" s="3" t="n"/>
      <c r="B172" s="3" t="n"/>
      <c r="D172" s="3" t="inlineStr">
        <is>
          <t>Review prac po stronie</t>
        </is>
      </c>
      <c r="E172" s="25" t="n"/>
      <c r="F172" s="3" t="inlineStr">
        <is>
          <t>AI SDLC</t>
        </is>
      </c>
      <c r="G172" s="26" t="n">
        <v>300</v>
      </c>
    </row>
    <row r="173" ht="15" customHeight="1" s="51">
      <c r="A173" s="3" t="n"/>
      <c r="B173" s="3" t="n"/>
      <c r="D173" s="3" t="inlineStr">
        <is>
          <t>Suma TL.15</t>
        </is>
      </c>
      <c r="E173" s="25" t="n"/>
      <c r="F173" s="3" t="n"/>
      <c r="H173" s="26">
        <f>SUM(G170:G172)</f>
        <v/>
      </c>
    </row>
    <row r="174" ht="15" customHeight="1" s="51">
      <c r="A174" s="3" t="n"/>
      <c r="B174" s="3" t="n"/>
      <c r="C174" s="11" t="n"/>
      <c r="D174" s="3" t="n"/>
      <c r="E174" s="30" t="n"/>
      <c r="F174" s="3" t="n"/>
    </row>
    <row r="175" ht="16" customHeight="1" s="51">
      <c r="A175" s="7" t="inlineStr">
        <is>
          <t>TL.16</t>
        </is>
      </c>
      <c r="B175" s="7" t="inlineStr">
        <is>
          <t>Review kodu</t>
        </is>
      </c>
      <c r="C175" s="8" t="inlineStr">
        <is>
          <t>TL.16 - AI Review architektury (przyrostowe sprawdzenie w nowym kodzie)</t>
        </is>
      </c>
      <c r="D175" s="7" t="inlineStr">
        <is>
          <t>Sekcja</t>
        </is>
      </c>
      <c r="E175" s="30" t="n"/>
      <c r="F175" s="3" t="n"/>
    </row>
    <row r="176" ht="15" customHeight="1" s="51">
      <c r="A176" s="3" t="n"/>
      <c r="B176" s="3" t="n"/>
      <c r="C176" s="53" t="inlineStr">
        <is>
          <t>Przyrostowe sprawdzenie architektury w nowym kodzie. AI weryfikuje, czy zmiany są zgodne z przyjętymi wzorcami i zasadami projektowymi. Do wywołania lokalnie przez developera i w ramach CI w zbiorczym review.</t>
        </is>
      </c>
      <c r="D176" s="3" t="inlineStr">
        <is>
          <t>Opis</t>
        </is>
      </c>
      <c r="E176" s="30" t="n"/>
      <c r="F176" s="3" t="n"/>
    </row>
    <row r="177" ht="15" customHeight="1" s="51">
      <c r="A177" s="3" t="n"/>
      <c r="B177" s="3" t="n"/>
      <c r="D177" s="3" t="inlineStr">
        <is>
          <t>Przekazanie knowhow</t>
        </is>
      </c>
      <c r="E177" s="25" t="n"/>
      <c r="F177" s="3" t="inlineStr">
        <is>
          <t>knowhow</t>
        </is>
      </c>
      <c r="G177" s="26" t="n">
        <v>500</v>
      </c>
    </row>
    <row r="178" ht="15" customHeight="1" s="51">
      <c r="A178" s="3" t="n"/>
      <c r="B178" s="3" t="n"/>
      <c r="D178" s="3" t="inlineStr">
        <is>
          <t>Dostosowanie do architektury</t>
        </is>
      </c>
      <c r="E178" s="25" t="n"/>
      <c r="F178" s="3" t="inlineStr">
        <is>
          <t>AI SDLC</t>
        </is>
      </c>
      <c r="G178" s="26" t="n">
        <v>1250</v>
      </c>
    </row>
    <row r="179" ht="15" customHeight="1" s="51">
      <c r="A179" s="3" t="n"/>
      <c r="B179" s="3" t="n"/>
      <c r="D179" s="3" t="inlineStr">
        <is>
          <t>Review prac po stronie</t>
        </is>
      </c>
      <c r="E179" s="25" t="n"/>
      <c r="F179" s="3" t="inlineStr">
        <is>
          <t>AI SDLC</t>
        </is>
      </c>
      <c r="G179" s="26" t="n">
        <v>300</v>
      </c>
    </row>
    <row r="180" ht="15" customHeight="1" s="51">
      <c r="A180" s="3" t="n"/>
      <c r="B180" s="3" t="n"/>
      <c r="D180" s="3" t="inlineStr">
        <is>
          <t>Suma TL.16</t>
        </is>
      </c>
      <c r="E180" s="25" t="n"/>
      <c r="F180" s="3" t="n"/>
      <c r="H180" s="26">
        <f>SUM(G177:G179)</f>
        <v/>
      </c>
    </row>
    <row r="181" ht="15" customHeight="1" s="51">
      <c r="A181" s="3" t="n"/>
      <c r="B181" s="3" t="n"/>
      <c r="C181" s="11" t="n"/>
      <c r="D181" s="3" t="n"/>
      <c r="E181" s="30" t="n"/>
      <c r="F181" s="3" t="n"/>
    </row>
    <row r="182" ht="16" customHeight="1" s="51">
      <c r="A182" s="7" t="inlineStr">
        <is>
          <t>TL.17</t>
        </is>
      </c>
      <c r="B182" s="7" t="inlineStr">
        <is>
          <t>Review kodu</t>
        </is>
      </c>
      <c r="C182" s="8" t="inlineStr">
        <is>
          <t>TL.17 - AI Review complexity check (przyrostowe sprawdzenie w nowym kodzie)</t>
        </is>
      </c>
      <c r="D182" s="7" t="inlineStr">
        <is>
          <t>Sekcja</t>
        </is>
      </c>
      <c r="E182" s="30" t="n"/>
      <c r="F182" s="3" t="n"/>
    </row>
    <row r="183" ht="15" customHeight="1" s="51">
      <c r="A183" s="3" t="n"/>
      <c r="B183" s="3" t="n"/>
      <c r="C183" s="53" t="inlineStr">
        <is>
          <t>Przyrostowe sprawdzenie złożoności nowego kodu. AI sygnalizuje miejsca, które wymagają refaktoryzacji ze względu na nadmierną skomplikowanie. Do wywołania lokalnie przez developera i w ramach CI w zbiorczym review.</t>
        </is>
      </c>
      <c r="D183" s="3" t="inlineStr">
        <is>
          <t>Opis</t>
        </is>
      </c>
      <c r="E183" s="30" t="n"/>
      <c r="F183" s="3" t="n"/>
    </row>
    <row r="184" ht="15" customHeight="1" s="51">
      <c r="A184" s="3" t="n"/>
      <c r="B184" s="3" t="n"/>
      <c r="D184" s="3" t="inlineStr">
        <is>
          <t>Przekazanie knowhow</t>
        </is>
      </c>
      <c r="E184" s="25" t="n"/>
      <c r="F184" s="3" t="inlineStr">
        <is>
          <t>knowhow</t>
        </is>
      </c>
      <c r="G184" s="26" t="n">
        <v>300</v>
      </c>
    </row>
    <row r="185" ht="15" customHeight="1" s="51">
      <c r="A185" s="3" t="n"/>
      <c r="B185" s="3" t="n"/>
      <c r="D185" s="3" t="inlineStr">
        <is>
          <t>Dostosowanie complexity check do architektury</t>
        </is>
      </c>
      <c r="E185" s="25" t="n"/>
      <c r="F185" s="3" t="inlineStr">
        <is>
          <t>AI SDLC</t>
        </is>
      </c>
      <c r="G185" s="26" t="n">
        <v>300</v>
      </c>
    </row>
    <row r="186" ht="15" customHeight="1" s="51">
      <c r="A186" s="3" t="n"/>
      <c r="B186" s="3" t="n"/>
      <c r="D186" s="3" t="inlineStr">
        <is>
          <t>Review prac po stronie</t>
        </is>
      </c>
      <c r="E186" s="25" t="n"/>
      <c r="F186" s="3" t="inlineStr">
        <is>
          <t>AI SDLC</t>
        </is>
      </c>
      <c r="G186" s="26" t="n">
        <v>225</v>
      </c>
    </row>
    <row r="187" ht="15" customHeight="1" s="51">
      <c r="A187" s="3" t="n"/>
      <c r="B187" s="3" t="n"/>
      <c r="D187" s="3" t="inlineStr">
        <is>
          <t>Suma TL.17</t>
        </is>
      </c>
      <c r="E187" s="25" t="n"/>
      <c r="F187" s="3" t="n"/>
      <c r="H187" s="26">
        <f>SUM(G184:G186)</f>
        <v/>
      </c>
    </row>
    <row r="188" ht="15" customHeight="1" s="51">
      <c r="A188" s="3" t="n"/>
      <c r="B188" s="3" t="n"/>
      <c r="C188" s="11" t="n"/>
      <c r="D188" s="3" t="n"/>
      <c r="E188" s="30" t="n"/>
      <c r="F188" s="3" t="n"/>
    </row>
    <row r="189" ht="16" customHeight="1" s="51">
      <c r="A189" s="7" t="inlineStr">
        <is>
          <t>TL.18</t>
        </is>
      </c>
      <c r="B189" s="7" t="inlineStr">
        <is>
          <t>Review kodu</t>
        </is>
      </c>
      <c r="C189" s="8" t="inlineStr">
        <is>
          <t>TL.18 - AI Review implementacja vs specyfikacja</t>
        </is>
      </c>
      <c r="D189" s="7" t="inlineStr">
        <is>
          <t>Sekcja</t>
        </is>
      </c>
      <c r="E189" s="30" t="n"/>
      <c r="F189" s="3" t="n"/>
    </row>
    <row r="190" ht="15" customHeight="1" s="51">
      <c r="A190" s="3" t="n"/>
      <c r="B190" s="3" t="n"/>
      <c r="C190" s="53" t="inlineStr">
        <is>
          <t>AI porównuje implementację ze specyfikacją i wskazuje rozbieżności. Analitycy i developerzy zyskują pewność, że realizacja odpowiada zamówieniu. Do wywołania lokalnie przez developera i w ramach CI w zbiorczym review.</t>
        </is>
      </c>
      <c r="D190" s="3" t="inlineStr">
        <is>
          <t>Opis</t>
        </is>
      </c>
      <c r="E190" s="30" t="n"/>
      <c r="F190" s="3" t="n"/>
    </row>
    <row r="191" ht="15" customHeight="1" s="51">
      <c r="A191" s="3" t="n"/>
      <c r="B191" s="3" t="n"/>
      <c r="D191" s="3" t="inlineStr">
        <is>
          <t>Przekazanie knowhow</t>
        </is>
      </c>
      <c r="E191" s="25" t="n"/>
      <c r="F191" s="3" t="inlineStr">
        <is>
          <t>knowhow</t>
        </is>
      </c>
      <c r="G191" s="26" t="n">
        <v>400</v>
      </c>
    </row>
    <row r="192" ht="15" customHeight="1" s="51">
      <c r="A192" s="3" t="n"/>
      <c r="B192" s="3" t="n"/>
      <c r="D192" s="3" t="inlineStr">
        <is>
          <t>Dostosowanie AI review implementacji względem specyfikacji</t>
        </is>
      </c>
      <c r="E192" s="25" t="n"/>
      <c r="F192" s="3" t="inlineStr">
        <is>
          <t>AI SDLC</t>
        </is>
      </c>
      <c r="G192" s="26" t="n">
        <v>400</v>
      </c>
    </row>
    <row r="193" ht="15" customHeight="1" s="51">
      <c r="A193" s="3" t="n"/>
      <c r="B193" s="3" t="n"/>
      <c r="D193" s="3" t="inlineStr">
        <is>
          <t>Review prac po stronie</t>
        </is>
      </c>
      <c r="E193" s="25" t="n"/>
      <c r="F193" s="3" t="inlineStr">
        <is>
          <t>AI SDLC</t>
        </is>
      </c>
      <c r="G193" s="26" t="n">
        <v>300</v>
      </c>
    </row>
    <row r="194" ht="15" customHeight="1" s="51">
      <c r="A194" s="3" t="n"/>
      <c r="B194" s="3" t="n"/>
      <c r="D194" s="3" t="inlineStr">
        <is>
          <t>Suma TL.18</t>
        </is>
      </c>
      <c r="E194" s="25" t="n"/>
      <c r="F194" s="3" t="n"/>
      <c r="H194" s="26">
        <f>SUM(G191:G193)</f>
        <v/>
      </c>
    </row>
    <row r="195" ht="15" customHeight="1" s="51">
      <c r="A195" s="3" t="n"/>
      <c r="B195" s="3" t="n"/>
      <c r="C195" s="11" t="n"/>
      <c r="D195" s="3" t="n"/>
      <c r="E195" s="30" t="n"/>
      <c r="F195" s="3" t="n"/>
    </row>
    <row r="196" ht="16" customHeight="1" s="51">
      <c r="A196" s="7" t="inlineStr">
        <is>
          <t>TL.21</t>
        </is>
      </c>
      <c r="B196" s="7" t="inlineStr">
        <is>
          <t>Review kodu</t>
        </is>
      </c>
      <c r="C196" s="8" t="inlineStr">
        <is>
          <t>TL.21 - AI Review security (blackbox - SAST)</t>
        </is>
      </c>
      <c r="D196" s="7" t="inlineStr">
        <is>
          <t>Sekcja</t>
        </is>
      </c>
      <c r="E196" s="30" t="n"/>
      <c r="F196" s="3" t="n"/>
    </row>
    <row r="197" ht="15" customHeight="1" s="51">
      <c r="A197" s="3" t="n"/>
      <c r="B197" s="3" t="n"/>
      <c r="C197" s="53" t="inlineStr">
        <is>
          <t>Automatyczne sprawdzenie bezpieczeństwa kodu metodą blackbox (SAST). Do wywołania lokalnie przez developera i w ramach CI w zbiorczym review.</t>
        </is>
      </c>
      <c r="D197" s="3" t="inlineStr">
        <is>
          <t>Opis</t>
        </is>
      </c>
      <c r="E197" s="30" t="n"/>
      <c r="F197" s="3" t="n"/>
    </row>
    <row r="198" ht="15" customHeight="1" s="51">
      <c r="A198" s="3" t="n"/>
      <c r="B198" s="3" t="n"/>
      <c r="D198" s="3" t="inlineStr">
        <is>
          <t>Przekazanie knowhow</t>
        </is>
      </c>
      <c r="E198" s="25" t="n"/>
      <c r="F198" s="3" t="inlineStr">
        <is>
          <t>knowhow</t>
        </is>
      </c>
      <c r="G198" s="26" t="n">
        <v>1250</v>
      </c>
    </row>
    <row r="199" ht="15" customHeight="1" s="51">
      <c r="A199" s="3" t="n"/>
      <c r="B199" s="3" t="n"/>
      <c r="D199" s="3" t="inlineStr">
        <is>
          <t>Dostosowanie regół</t>
        </is>
      </c>
      <c r="E199" s="25" t="n"/>
      <c r="F199" s="3" t="inlineStr">
        <is>
          <t>AI SDLC</t>
        </is>
      </c>
      <c r="G199" s="26" t="n">
        <v>1500</v>
      </c>
    </row>
    <row r="200" ht="15" customHeight="1" s="51">
      <c r="A200" s="3" t="n"/>
      <c r="B200" s="3" t="n"/>
      <c r="D200" s="3" t="inlineStr">
        <is>
          <t>Review prac po stronie</t>
        </is>
      </c>
      <c r="E200" s="25" t="n"/>
      <c r="F200" s="3" t="inlineStr">
        <is>
          <t>AI SDLC</t>
        </is>
      </c>
      <c r="G200" s="26" t="n">
        <v>300</v>
      </c>
    </row>
    <row r="201" ht="15" customHeight="1" s="51">
      <c r="A201" s="3" t="n"/>
      <c r="B201" s="3" t="n"/>
      <c r="D201" s="3" t="inlineStr">
        <is>
          <t>Suma TL.21</t>
        </is>
      </c>
      <c r="E201" s="25" t="n"/>
      <c r="F201" s="3" t="n"/>
      <c r="H201" s="26">
        <f>SUM(G198:G200)</f>
        <v/>
      </c>
    </row>
    <row r="202" ht="15" customHeight="1" s="51">
      <c r="A202" s="3" t="n"/>
      <c r="B202" s="3" t="n"/>
      <c r="C202" s="11" t="n"/>
      <c r="D202" s="3" t="n"/>
      <c r="E202" s="30" t="n"/>
      <c r="F202" s="3" t="n"/>
    </row>
    <row r="203" ht="16" customHeight="1" s="51">
      <c r="A203" s="7" t="inlineStr">
        <is>
          <t>TL.22</t>
        </is>
      </c>
      <c r="B203" s="7" t="inlineStr">
        <is>
          <t>Review kodu</t>
        </is>
      </c>
      <c r="C203" s="8" t="inlineStr">
        <is>
          <t>TL.22 - Integracja z review tool (ex. BitBucket)</t>
        </is>
      </c>
      <c r="D203" s="7" t="inlineStr">
        <is>
          <t>Sekcja</t>
        </is>
      </c>
      <c r="E203" s="30" t="n"/>
      <c r="F203" s="3" t="n"/>
    </row>
    <row r="204" ht="15" customHeight="1" s="51">
      <c r="A204" s="3" t="n"/>
      <c r="B204" s="3" t="n"/>
      <c r="C204" s="53" t="inlineStr">
        <is>
          <t>AI integruje się z istniejącymi narzędziami review (BitBucket), automatyzując proces przeglądu kodu i raportując wyniki bezpośrednio w używanym narzędzi.</t>
        </is>
      </c>
      <c r="D204" s="3" t="inlineStr">
        <is>
          <t>Opis</t>
        </is>
      </c>
      <c r="E204" s="30" t="n"/>
      <c r="F204" s="3" t="n"/>
    </row>
    <row r="205" ht="15" customHeight="1" s="51">
      <c r="A205" s="3" t="n"/>
      <c r="B205" s="3" t="n"/>
      <c r="D205" s="3" t="inlineStr">
        <is>
          <t>Przekazanie knowhow</t>
        </is>
      </c>
      <c r="E205" s="25" t="n"/>
      <c r="F205" s="3" t="inlineStr">
        <is>
          <t>knowhow</t>
        </is>
      </c>
      <c r="G205" s="26" t="n">
        <v>400</v>
      </c>
    </row>
    <row r="206" ht="15" customHeight="1" s="51">
      <c r="A206" s="3" t="n"/>
      <c r="B206" s="3" t="n"/>
      <c r="D206" s="3" t="inlineStr">
        <is>
          <t>Integracja z narzędziem review</t>
        </is>
      </c>
      <c r="E206" s="25" t="n"/>
      <c r="F206" s="3" t="inlineStr">
        <is>
          <t>AI SDLC</t>
        </is>
      </c>
      <c r="G206" s="26" t="n">
        <v>1250</v>
      </c>
    </row>
    <row r="207" ht="15" customHeight="1" s="51">
      <c r="A207" s="3" t="n"/>
      <c r="B207" s="3" t="n"/>
      <c r="D207" s="3" t="inlineStr">
        <is>
          <t>Review prac po stronie</t>
        </is>
      </c>
      <c r="E207" s="25" t="n"/>
      <c r="F207" s="3" t="inlineStr">
        <is>
          <t>AI SDLC</t>
        </is>
      </c>
      <c r="G207" s="26" t="n">
        <v>300</v>
      </c>
    </row>
    <row r="208" ht="15" customHeight="1" s="51">
      <c r="A208" s="3" t="n"/>
      <c r="B208" s="3" t="n"/>
      <c r="D208" s="3" t="inlineStr">
        <is>
          <t>Suma TL.22</t>
        </is>
      </c>
      <c r="E208" s="25" t="n"/>
      <c r="F208" s="3" t="n"/>
      <c r="H208" s="26">
        <f>SUM(G205:G207)</f>
        <v/>
      </c>
    </row>
    <row r="209" ht="15" customHeight="1" s="51">
      <c r="A209" s="3" t="n"/>
      <c r="B209" s="3" t="n"/>
      <c r="C209" s="11" t="n"/>
      <c r="D209" s="3" t="n"/>
      <c r="E209" s="30" t="n"/>
      <c r="F209" s="3" t="n"/>
    </row>
    <row r="210" ht="32" customHeight="1" s="51">
      <c r="A210" s="7" t="inlineStr">
        <is>
          <t>TL.28</t>
        </is>
      </c>
      <c r="B210" s="7" t="inlineStr">
        <is>
          <t>Review kodu</t>
        </is>
      </c>
      <c r="C210" s="8" t="inlineStr">
        <is>
          <t>TL.28 - Instrukcje AI do Dokumentowania zmian w wersji po implementacji (na bazie analizy i kodu) (release notes na potrzeby AI)</t>
        </is>
      </c>
      <c r="D210" s="7" t="inlineStr">
        <is>
          <t>Sekcja</t>
        </is>
      </c>
      <c r="E210" s="30" t="n"/>
      <c r="F210" s="3" t="n"/>
    </row>
    <row r="211" ht="15" customHeight="1" s="51">
      <c r="A211" s="3" t="n"/>
      <c r="B211" s="3" t="n"/>
      <c r="C211" s="53" t="inlineStr">
        <is>
          <t>Po implementacji AI automatycznie generuje release notes na podstawie analizy i kodu.</t>
        </is>
      </c>
      <c r="D211" s="3" t="inlineStr">
        <is>
          <t>Opis</t>
        </is>
      </c>
      <c r="E211" s="30" t="n"/>
      <c r="F211" s="3" t="n"/>
    </row>
    <row r="212" ht="15" customHeight="1" s="51">
      <c r="A212" s="3" t="n"/>
      <c r="B212" s="3" t="n"/>
      <c r="D212" s="3" t="inlineStr">
        <is>
          <t>Przekazanie knowhow</t>
        </is>
      </c>
      <c r="E212" s="25" t="n"/>
      <c r="F212" s="3" t="inlineStr">
        <is>
          <t>knowhow</t>
        </is>
      </c>
      <c r="G212" s="26" t="n">
        <v>400</v>
      </c>
    </row>
    <row r="213" ht="15" customHeight="1" s="51">
      <c r="A213" s="3" t="n"/>
      <c r="B213" s="3" t="n"/>
      <c r="D213" s="3" t="inlineStr">
        <is>
          <t>Dostosowanie  instrukcji AI do dokumentowania zmian po implementacji</t>
        </is>
      </c>
      <c r="E213" s="25" t="n"/>
      <c r="F213" s="3" t="inlineStr">
        <is>
          <t>AI SDLC</t>
        </is>
      </c>
      <c r="G213" s="26" t="n">
        <v>750</v>
      </c>
    </row>
    <row r="214" ht="15" customHeight="1" s="51">
      <c r="A214" s="3" t="n"/>
      <c r="B214" s="3" t="n"/>
      <c r="D214" s="3" t="inlineStr">
        <is>
          <t>Review prac po stronie</t>
        </is>
      </c>
      <c r="E214" s="25" t="n"/>
      <c r="F214" s="3" t="inlineStr">
        <is>
          <t>AI SDLC</t>
        </is>
      </c>
      <c r="G214" s="26" t="n">
        <v>225</v>
      </c>
    </row>
    <row r="215" ht="15" customHeight="1" s="51">
      <c r="A215" s="3" t="n"/>
      <c r="B215" s="3" t="n"/>
      <c r="D215" s="3" t="inlineStr">
        <is>
          <t>Suma TL.28</t>
        </is>
      </c>
      <c r="E215" s="25" t="n"/>
      <c r="F215" s="3" t="n"/>
      <c r="H215" s="26">
        <f>SUM(G212:G214)</f>
        <v/>
      </c>
    </row>
    <row r="216" ht="15" customHeight="1" s="51">
      <c r="A216" s="3" t="n"/>
      <c r="B216" s="3" t="n"/>
      <c r="C216" s="11" t="n"/>
      <c r="D216" s="3" t="n"/>
      <c r="E216" s="30" t="n"/>
      <c r="F216" s="3" t="n"/>
    </row>
    <row r="217" ht="32" customHeight="1" s="51">
      <c r="A217" s="7" t="inlineStr">
        <is>
          <t>TL.6 [Testy e2e]</t>
        </is>
      </c>
      <c r="B217" s="7" t="inlineStr">
        <is>
          <t>Testy e2e</t>
        </is>
      </c>
      <c r="C217" s="8" t="inlineStr">
        <is>
          <t>TL.6 [Testy e2e] - Instrukcja dla AI generująca scenariusze e2e w pseudokodzie (custom inhouse dsl)</t>
        </is>
      </c>
      <c r="D217" s="7" t="inlineStr">
        <is>
          <t>Sekcja</t>
        </is>
      </c>
      <c r="E217" s="30" t="n"/>
      <c r="F217" s="3" t="n"/>
    </row>
    <row r="218" ht="15" customHeight="1" s="51">
      <c r="A218" s="3" t="n"/>
      <c r="B218" s="3" t="n"/>
      <c r="C218" s="53" t="inlineStr">
        <is>
          <t>AI generuje scenariusze e2e w pseudokodzie (custom inhouse DSL), które są gotowe do automatycznego wykonania. Skraca to czas tworzenia testów i zapewnia powtarzalność.</t>
        </is>
      </c>
      <c r="D218" s="3" t="inlineStr">
        <is>
          <t>Opis</t>
        </is>
      </c>
      <c r="E218" s="30" t="n"/>
      <c r="F218" s="3" t="n"/>
    </row>
    <row r="219" ht="15" customHeight="1" s="51">
      <c r="A219" s="3" t="n"/>
      <c r="B219" s="3" t="n"/>
      <c r="D219" s="3" t="inlineStr">
        <is>
          <t>Przekazanie knowhow</t>
        </is>
      </c>
      <c r="E219" s="25" t="n"/>
      <c r="F219" s="3" t="inlineStr">
        <is>
          <t>knowhow</t>
        </is>
      </c>
      <c r="G219" s="26" t="n">
        <v>750</v>
      </c>
    </row>
    <row r="220" ht="15" customHeight="1" s="51">
      <c r="A220" s="3" t="n"/>
      <c r="B220" s="3" t="n"/>
      <c r="D220" s="3" t="inlineStr">
        <is>
          <t>Przygotowanie instrukcji AI do generowania scenariuszy e2e w pseudokodzie</t>
        </is>
      </c>
      <c r="E220" s="25" t="n"/>
      <c r="F220" s="3" t="inlineStr">
        <is>
          <t>AI SDLC</t>
        </is>
      </c>
      <c r="G220" s="26" t="n">
        <v>1250</v>
      </c>
    </row>
    <row r="221" ht="15" customHeight="1" s="51">
      <c r="A221" s="3" t="n"/>
      <c r="B221" s="3" t="n"/>
      <c r="D221" s="3" t="inlineStr">
        <is>
          <t>Review prac po stronie</t>
        </is>
      </c>
      <c r="E221" s="25" t="n"/>
      <c r="F221" s="3" t="inlineStr">
        <is>
          <t>AI SDLC</t>
        </is>
      </c>
      <c r="G221" s="26" t="n">
        <v>300</v>
      </c>
    </row>
    <row r="222" ht="15" customHeight="1" s="51">
      <c r="A222" s="3" t="n"/>
      <c r="B222" s="3" t="n"/>
      <c r="D222" s="3" t="inlineStr">
        <is>
          <t>Suma TL.6 [Testy e2e]</t>
        </is>
      </c>
      <c r="E222" s="25" t="n"/>
      <c r="F222" s="3" t="n"/>
      <c r="H222" s="26">
        <f>SUM(G219:G221)</f>
        <v/>
      </c>
    </row>
    <row r="223" ht="15" customHeight="1" s="51">
      <c r="A223" s="3" t="n"/>
      <c r="B223" s="3" t="n"/>
      <c r="C223" s="11" t="n"/>
      <c r="D223" s="3" t="n"/>
      <c r="E223" s="30" t="n"/>
      <c r="F223" s="3" t="n"/>
    </row>
    <row r="224" ht="32" customHeight="1" s="51">
      <c r="A224" s="7" t="inlineStr">
        <is>
          <t>TL.7</t>
        </is>
      </c>
      <c r="B224" s="7" t="inlineStr">
        <is>
          <t>Testy e2e</t>
        </is>
      </c>
      <c r="C224" s="8" t="inlineStr">
        <is>
          <t>TL.7 - Instrukcja dla AI do efektywnego nawigowania po stronie i wybrania optymalnych selector-ów</t>
        </is>
      </c>
      <c r="D224" s="7" t="inlineStr">
        <is>
          <t>Sekcja</t>
        </is>
      </c>
      <c r="E224" s="30" t="n"/>
      <c r="F224" s="3" t="n"/>
    </row>
    <row r="225" ht="15" customHeight="1" s="51">
      <c r="A225" s="3" t="n"/>
      <c r="B225" s="3" t="n"/>
      <c r="C225" s="53" t="inlineStr">
        <is>
          <t>AI efektywnie nawiguje po stronie i dobiera optymalne selectory. Testy e2e stają się bardziej niezawodne i odporne na drobne zmiany w UI.</t>
        </is>
      </c>
      <c r="D225" s="3" t="inlineStr">
        <is>
          <t>Opis</t>
        </is>
      </c>
      <c r="E225" s="30" t="n"/>
      <c r="F225" s="3" t="n"/>
    </row>
    <row r="226" ht="15" customHeight="1" s="51">
      <c r="A226" s="3" t="n"/>
      <c r="B226" s="3" t="n"/>
      <c r="D226" s="3" t="inlineStr">
        <is>
          <t>Przekazanie knowhow</t>
        </is>
      </c>
      <c r="E226" s="25" t="n"/>
      <c r="F226" s="3" t="inlineStr">
        <is>
          <t>knowhow</t>
        </is>
      </c>
      <c r="G226" s="26" t="n">
        <v>400</v>
      </c>
    </row>
    <row r="227" ht="15" customHeight="1" s="51">
      <c r="A227" s="3" t="n"/>
      <c r="B227" s="3" t="n"/>
      <c r="D227" s="3" t="inlineStr">
        <is>
          <t>Przygotowanie instrukcji AI do efektywnej nawigacji po stronie i doboru selectorów</t>
        </is>
      </c>
      <c r="E227" s="25" t="n"/>
      <c r="F227" s="3" t="inlineStr">
        <is>
          <t>AI SDLC</t>
        </is>
      </c>
      <c r="G227" s="26" t="n">
        <v>750</v>
      </c>
    </row>
    <row r="228" ht="15" customHeight="1" s="51">
      <c r="A228" s="3" t="n"/>
      <c r="B228" s="3" t="n"/>
      <c r="D228" s="3" t="inlineStr">
        <is>
          <t>Review prac po stronie</t>
        </is>
      </c>
      <c r="E228" s="25" t="n"/>
      <c r="F228" s="3" t="inlineStr">
        <is>
          <t>AI SDLC</t>
        </is>
      </c>
      <c r="G228" s="26" t="n">
        <v>300</v>
      </c>
    </row>
    <row r="229" ht="15" customHeight="1" s="51">
      <c r="A229" s="3" t="n"/>
      <c r="B229" s="3" t="n"/>
      <c r="D229" s="3" t="inlineStr">
        <is>
          <t>Suma TL.7</t>
        </is>
      </c>
      <c r="E229" s="25" t="n"/>
      <c r="F229" s="3" t="n"/>
      <c r="H229" s="26">
        <f>SUM(G226:G228)</f>
        <v/>
      </c>
    </row>
    <row r="230" ht="15" customHeight="1" s="51">
      <c r="A230" s="3" t="n"/>
      <c r="B230" s="3" t="n"/>
      <c r="C230" s="11" t="n"/>
      <c r="D230" s="3" t="n"/>
      <c r="E230" s="30" t="n"/>
      <c r="F230" s="3" t="n"/>
    </row>
    <row r="231" ht="16" customHeight="1" s="51">
      <c r="A231" s="7" t="inlineStr">
        <is>
          <t>TL.27</t>
        </is>
      </c>
      <c r="B231" s="7" t="inlineStr">
        <is>
          <t>Testy e2e</t>
        </is>
      </c>
      <c r="C231" s="8" t="inlineStr">
        <is>
          <t>TL.27 - Tool do Zarządzanie Danymi testowymi i resetowalność e2e</t>
        </is>
      </c>
      <c r="D231" s="7" t="inlineStr">
        <is>
          <t>Sekcja</t>
        </is>
      </c>
      <c r="E231" s="30" t="n"/>
      <c r="F231" s="3" t="n"/>
    </row>
    <row r="232" ht="15" customHeight="1" s="51">
      <c r="A232" s="3" t="n"/>
      <c r="B232" s="3" t="n"/>
      <c r="C232" s="53" t="inlineStr">
        <is>
          <t>Usprawniamy pozyskiwanie danych testowych i deterministyczny reset scenariuszy - najtrudniejszy element automatyzacji e2e. Testy mogą być wielokrotnie powtarzane z gwarancją powtarzalności.</t>
        </is>
      </c>
      <c r="D232" s="3" t="inlineStr">
        <is>
          <t>Opis</t>
        </is>
      </c>
      <c r="E232" s="30" t="n"/>
      <c r="F232" s="3" t="n"/>
    </row>
    <row r="233" ht="15" customHeight="1" s="51">
      <c r="A233" s="3" t="n"/>
      <c r="B233" s="3" t="n"/>
      <c r="D233" s="3" t="inlineStr">
        <is>
          <t>Przekazanie knowhow</t>
        </is>
      </c>
      <c r="E233" s="25" t="n"/>
      <c r="F233" s="3" t="inlineStr">
        <is>
          <t>knowhow</t>
        </is>
      </c>
      <c r="G233" s="26" t="n">
        <v>700</v>
      </c>
    </row>
    <row r="234" ht="15" customHeight="1" s="51">
      <c r="A234" s="3" t="n"/>
      <c r="B234" s="3" t="n"/>
      <c r="D234" s="3" t="inlineStr">
        <is>
          <t>Dostosowanie narzędzia do zarządzania danymi testowymi i resetowalności e2e</t>
        </is>
      </c>
      <c r="E234" s="25" t="n"/>
      <c r="F234" s="3" t="inlineStr">
        <is>
          <t>AI SDLC</t>
        </is>
      </c>
      <c r="G234" s="26" t="n">
        <v>1250</v>
      </c>
    </row>
    <row r="235" ht="15" customHeight="1" s="51">
      <c r="A235" s="3" t="n"/>
      <c r="B235" s="3" t="n"/>
      <c r="D235" s="3" t="inlineStr">
        <is>
          <t>Review prac po stronie</t>
        </is>
      </c>
      <c r="E235" s="25" t="n"/>
      <c r="F235" s="3" t="inlineStr">
        <is>
          <t>AI SDLC</t>
        </is>
      </c>
      <c r="G235" s="26" t="n">
        <v>500</v>
      </c>
    </row>
    <row r="236" ht="15" customHeight="1" s="51">
      <c r="A236" s="3" t="n"/>
      <c r="B236" s="3" t="n"/>
      <c r="D236" s="3" t="inlineStr">
        <is>
          <t>Suma TL.27</t>
        </is>
      </c>
      <c r="E236" s="25" t="n"/>
      <c r="F236" s="3" t="n"/>
      <c r="H236" s="26">
        <f>SUM(G233:G235)</f>
        <v/>
      </c>
    </row>
    <row r="237" ht="15" customHeight="1" s="51">
      <c r="A237" s="3" t="n"/>
      <c r="B237" s="3" t="n"/>
      <c r="C237" s="11" t="n"/>
      <c r="D237" s="3" t="n"/>
      <c r="E237" s="30" t="n"/>
      <c r="F237" s="3" t="n"/>
    </row>
    <row r="238" ht="16" customHeight="1" s="51">
      <c r="A238" s="7" t="inlineStr">
        <is>
          <t>TL.33</t>
        </is>
      </c>
      <c r="B238" s="7" t="inlineStr">
        <is>
          <t>Integracje z Jira i Confluence on premis</t>
        </is>
      </c>
      <c r="C238" s="8" t="inlineStr">
        <is>
          <t>TL.33 - Integracja agenta z Go Jira on premis</t>
        </is>
      </c>
      <c r="D238" s="7" t="inlineStr">
        <is>
          <t>Sekcja</t>
        </is>
      </c>
      <c r="E238" s="30" t="n"/>
      <c r="F238" s="3" t="n"/>
    </row>
    <row r="239" ht="15" customHeight="1" s="51">
      <c r="A239" s="3" t="n"/>
      <c r="B239" s="3" t="n"/>
      <c r="C239" s="53" t="inlineStr">
        <is>
          <t>Agent zyskuje możliwość tworzenia, czytania i komentowania issue w Jira on-premise przez API.</t>
        </is>
      </c>
      <c r="D239" s="3" t="inlineStr">
        <is>
          <t>Opis</t>
        </is>
      </c>
      <c r="E239" s="30" t="n"/>
      <c r="F239" s="3" t="n"/>
    </row>
    <row r="240" ht="15" customHeight="1" s="51">
      <c r="A240" s="3" t="n"/>
      <c r="B240" s="3" t="n"/>
      <c r="D240" s="3" t="inlineStr">
        <is>
          <t>Przekazanie knowhow</t>
        </is>
      </c>
      <c r="E240" s="25" t="n"/>
      <c r="F240" s="3" t="inlineStr">
        <is>
          <t>knowhow</t>
        </is>
      </c>
      <c r="G240" s="26" t="n">
        <v>0</v>
      </c>
    </row>
    <row r="241" ht="15" customHeight="1" s="51">
      <c r="A241" s="3" t="n"/>
      <c r="B241" s="3" t="n"/>
      <c r="D241" s="3" t="inlineStr">
        <is>
          <t>Integracja agenta z Go Jira on premise</t>
        </is>
      </c>
      <c r="E241" s="25" t="n"/>
      <c r="F241" s="3" t="inlineStr">
        <is>
          <t>AI SDLC</t>
        </is>
      </c>
      <c r="G241" s="26" t="n">
        <v>1000</v>
      </c>
    </row>
    <row r="242" ht="15" customHeight="1" s="51">
      <c r="A242" s="3" t="n"/>
      <c r="B242" s="3" t="n"/>
      <c r="D242" s="3" t="inlineStr">
        <is>
          <t>Review prac po stronie</t>
        </is>
      </c>
      <c r="E242" s="25" t="n"/>
      <c r="F242" s="3" t="inlineStr">
        <is>
          <t>AI SDLC</t>
        </is>
      </c>
      <c r="G242" s="26" t="n">
        <v>200</v>
      </c>
    </row>
    <row r="243" ht="15" customHeight="1" s="51">
      <c r="A243" s="3" t="n"/>
      <c r="B243" s="3" t="n"/>
      <c r="D243" s="3" t="inlineStr">
        <is>
          <t>Suma TL.33</t>
        </is>
      </c>
      <c r="E243" s="25" t="n"/>
      <c r="F243" s="3" t="n"/>
      <c r="H243" s="26">
        <f>SUM(G240:G242)</f>
        <v/>
      </c>
    </row>
    <row r="244" ht="15" customHeight="1" s="51">
      <c r="A244" s="3" t="n"/>
      <c r="B244" s="3" t="n"/>
      <c r="C244" s="11" t="n"/>
      <c r="D244" s="3" t="n"/>
      <c r="E244" s="30" t="n"/>
      <c r="F244" s="3" t="n"/>
    </row>
    <row r="245" ht="16" customHeight="1" s="51">
      <c r="A245" s="7" t="inlineStr">
        <is>
          <t>TL.23</t>
        </is>
      </c>
      <c r="B245" s="7" t="inlineStr">
        <is>
          <t>Integracje z Jira i Confluence on premis</t>
        </is>
      </c>
      <c r="C245" s="8" t="inlineStr">
        <is>
          <t>TL.23 - Triage issues w Jira (nice to have)</t>
        </is>
      </c>
      <c r="D245" s="7" t="inlineStr">
        <is>
          <t>Sekcja</t>
        </is>
      </c>
      <c r="E245" s="30" t="n"/>
      <c r="F245" s="3" t="n"/>
    </row>
    <row r="246" ht="15" customHeight="1" s="51">
      <c r="A246" s="3" t="n"/>
      <c r="B246" s="3" t="n"/>
      <c r="C246" s="53" t="inlineStr">
        <is>
          <t>AI automatycznie klasyfikuje i priorytetyzuje issue w Jira, pomagając zespołowi skupić się na najważniejszych zadaniach. Później umożliwi automatyczne implementacje najprostszych issue: podbicie wersji, reprodukcja buga etc.</t>
        </is>
      </c>
      <c r="D246" s="3" t="inlineStr">
        <is>
          <t>Opis</t>
        </is>
      </c>
      <c r="E246" s="30" t="n"/>
      <c r="F246" s="3" t="n"/>
    </row>
    <row r="247" ht="15" customHeight="1" s="51">
      <c r="A247" s="3" t="n"/>
      <c r="B247" s="3" t="n"/>
      <c r="D247" s="3" t="inlineStr">
        <is>
          <t>Przekazanie knowhow</t>
        </is>
      </c>
      <c r="E247" s="25" t="n"/>
      <c r="F247" s="3" t="inlineStr">
        <is>
          <t>knowhow</t>
        </is>
      </c>
      <c r="G247" s="26" t="n">
        <v>750</v>
      </c>
    </row>
    <row r="248" ht="15" customHeight="1" s="51">
      <c r="A248" s="3" t="n"/>
      <c r="B248" s="3" t="n"/>
      <c r="D248" s="3" t="inlineStr">
        <is>
          <t>Wpięcie  triage issues w Jira</t>
        </is>
      </c>
      <c r="E248" s="25" t="n"/>
      <c r="F248" s="3" t="inlineStr">
        <is>
          <t>AI SDLC</t>
        </is>
      </c>
      <c r="G248" s="26" t="n">
        <v>1250</v>
      </c>
    </row>
    <row r="249" ht="15" customHeight="1" s="51">
      <c r="A249" s="3" t="n"/>
      <c r="B249" s="3" t="n"/>
      <c r="D249" s="3" t="inlineStr">
        <is>
          <t>Review prac po stronie</t>
        </is>
      </c>
      <c r="E249" s="25" t="n"/>
      <c r="F249" s="3" t="inlineStr">
        <is>
          <t>AI SDLC</t>
        </is>
      </c>
      <c r="G249" s="26" t="n">
        <v>225</v>
      </c>
    </row>
    <row r="250" ht="15" customHeight="1" s="51">
      <c r="A250" s="3" t="n"/>
      <c r="B250" s="3" t="n"/>
      <c r="D250" s="3" t="inlineStr">
        <is>
          <t>Suma TL.23</t>
        </is>
      </c>
      <c r="E250" s="25" t="n"/>
      <c r="F250" s="3" t="n"/>
      <c r="H250" s="26">
        <f>SUM(G247:G249)</f>
        <v/>
      </c>
    </row>
    <row r="251" ht="15" customHeight="1" s="51">
      <c r="A251" s="3" t="n"/>
      <c r="B251" s="3" t="n"/>
      <c r="C251" s="11" t="n"/>
      <c r="D251" s="3" t="n"/>
      <c r="E251" s="30" t="n"/>
      <c r="F251" s="3" t="n"/>
    </row>
    <row r="252" ht="16" customHeight="1" s="51">
      <c r="A252" s="7" t="inlineStr">
        <is>
          <t>TL.24</t>
        </is>
      </c>
      <c r="B252" s="7" t="inlineStr">
        <is>
          <t>Integracje z Jira i Confluence on premis</t>
        </is>
      </c>
      <c r="C252" s="8" t="inlineStr">
        <is>
          <t>TL.24 - Find duplicates w Jira (nice to have, best effort dla on-premis)</t>
        </is>
      </c>
      <c r="D252" s="7" t="inlineStr">
        <is>
          <t>Sekcja</t>
        </is>
      </c>
      <c r="E252" s="30" t="n"/>
      <c r="F252" s="3" t="n"/>
    </row>
    <row r="253" ht="15" customHeight="1" s="51">
      <c r="A253" s="3" t="n"/>
      <c r="B253" s="3" t="n"/>
      <c r="C253" s="53" t="inlineStr">
        <is>
          <t>AI wyszukuje duplikaty issue w Jira on-premise.</t>
        </is>
      </c>
      <c r="D253" s="3" t="inlineStr">
        <is>
          <t>Opis</t>
        </is>
      </c>
      <c r="E253" s="30" t="n"/>
      <c r="F253" s="3" t="n"/>
    </row>
    <row r="254" ht="15" customHeight="1" s="51">
      <c r="A254" s="3" t="n"/>
      <c r="B254" s="3" t="n"/>
      <c r="D254" s="3" t="inlineStr">
        <is>
          <t>Przekazanie knowhow</t>
        </is>
      </c>
      <c r="E254" s="25" t="n"/>
      <c r="F254" s="3" t="inlineStr">
        <is>
          <t>knowhow</t>
        </is>
      </c>
      <c r="G254" s="26" t="n">
        <v>750</v>
      </c>
    </row>
    <row r="255" ht="15" customHeight="1" s="51">
      <c r="A255" s="3" t="n"/>
      <c r="B255" s="3" t="n"/>
      <c r="D255" s="3" t="inlineStr">
        <is>
          <t>Przygotowanie wyszukiwania duplikatów w Jira</t>
        </is>
      </c>
      <c r="E255" s="25" t="n"/>
      <c r="F255" s="3" t="inlineStr">
        <is>
          <t>AI SDLC</t>
        </is>
      </c>
      <c r="G255" s="26" t="n">
        <v>1250</v>
      </c>
    </row>
    <row r="256" ht="15" customHeight="1" s="51">
      <c r="A256" s="3" t="n"/>
      <c r="B256" s="3" t="n"/>
      <c r="D256" s="3" t="inlineStr">
        <is>
          <t>Review prac po stronie</t>
        </is>
      </c>
      <c r="E256" s="25" t="n"/>
      <c r="F256" s="3" t="inlineStr">
        <is>
          <t>AI SDLC</t>
        </is>
      </c>
      <c r="G256" s="26" t="n">
        <v>225</v>
      </c>
    </row>
    <row r="257" ht="15" customHeight="1" s="51">
      <c r="A257" s="3" t="n"/>
      <c r="B257" s="3" t="n"/>
      <c r="D257" s="3" t="inlineStr">
        <is>
          <t>Suma TL.24</t>
        </is>
      </c>
      <c r="E257" s="25" t="n"/>
      <c r="F257" s="3" t="n"/>
      <c r="H257" s="26">
        <f>SUM(G254:G256)</f>
        <v/>
      </c>
    </row>
    <row r="258" ht="15" customHeight="1" s="51">
      <c r="A258" s="3" t="n"/>
      <c r="B258" s="3" t="n"/>
      <c r="C258" s="11" t="n"/>
      <c r="D258" s="3" t="n"/>
      <c r="E258" s="30" t="n"/>
      <c r="F258" s="3" t="n"/>
    </row>
    <row r="259" ht="16" customHeight="1" s="51">
      <c r="A259" s="7" t="inlineStr">
        <is>
          <t>TL.25</t>
        </is>
      </c>
      <c r="B259" s="7" t="inlineStr">
        <is>
          <t>Integracje z Jira i Confluence on premis</t>
        </is>
      </c>
      <c r="C259" s="8" t="inlineStr">
        <is>
          <t>TL.25 - Szukanie w Confluence (best effort dla on-premis)</t>
        </is>
      </c>
      <c r="D259" s="7" t="inlineStr">
        <is>
          <t>Sekcja</t>
        </is>
      </c>
      <c r="E259" s="30" t="n"/>
      <c r="F259" s="3" t="n"/>
    </row>
    <row r="260" ht="15" customHeight="1" s="51">
      <c r="A260" s="3" t="n"/>
      <c r="B260" s="3" t="n"/>
      <c r="C260" s="53" t="inlineStr">
        <is>
          <t>AI przeszukuje Confluence on-premise, znajdując relevantne artykuły i dokumentację.</t>
        </is>
      </c>
      <c r="D260" s="3" t="inlineStr">
        <is>
          <t>Opis</t>
        </is>
      </c>
      <c r="E260" s="30" t="n"/>
      <c r="F260" s="3" t="n"/>
    </row>
    <row r="261" ht="15" customHeight="1" s="51">
      <c r="A261" s="3" t="n"/>
      <c r="B261" s="3" t="n"/>
      <c r="D261" s="3" t="inlineStr">
        <is>
          <t>Przekazanie knowhow</t>
        </is>
      </c>
      <c r="E261" s="25" t="n"/>
      <c r="F261" s="3" t="inlineStr">
        <is>
          <t>knowhow</t>
        </is>
      </c>
      <c r="G261" s="26" t="n">
        <v>750</v>
      </c>
    </row>
    <row r="262" ht="15" customHeight="1" s="51">
      <c r="A262" s="3" t="n"/>
      <c r="B262" s="3" t="n"/>
      <c r="D262" s="3" t="inlineStr">
        <is>
          <t>Przygotowanie wyszukiwania w Confluence</t>
        </is>
      </c>
      <c r="E262" s="25" t="n"/>
      <c r="F262" s="3" t="inlineStr">
        <is>
          <t>AI SDLC</t>
        </is>
      </c>
      <c r="G262" s="26" t="n">
        <v>1250</v>
      </c>
    </row>
    <row r="263" ht="15" customHeight="1" s="51">
      <c r="A263" s="3" t="n"/>
      <c r="B263" s="3" t="n"/>
      <c r="D263" s="3" t="inlineStr">
        <is>
          <t>Review prac po stronie</t>
        </is>
      </c>
      <c r="E263" s="25" t="n"/>
      <c r="F263" s="3" t="inlineStr">
        <is>
          <t>AI SDLC</t>
        </is>
      </c>
      <c r="G263" s="26" t="n">
        <v>225</v>
      </c>
    </row>
    <row r="264" ht="15" customHeight="1" s="51">
      <c r="A264" s="3" t="n"/>
      <c r="B264" s="3" t="n"/>
      <c r="D264" s="3" t="inlineStr">
        <is>
          <t>Suma TL.25</t>
        </is>
      </c>
      <c r="E264" s="25" t="n"/>
      <c r="F264" s="3" t="n"/>
      <c r="H264" s="26">
        <f>SUM(G261:G263)</f>
        <v/>
      </c>
    </row>
    <row r="265" ht="15" customHeight="1" s="51">
      <c r="A265" s="3" t="n"/>
      <c r="B265" s="3" t="n"/>
      <c r="C265" s="11" t="n"/>
      <c r="D265" s="3" t="n"/>
      <c r="E265" s="30" t="n"/>
      <c r="F265" s="3" t="n"/>
    </row>
    <row r="266" ht="16" customHeight="1" s="51">
      <c r="A266" s="7" t="inlineStr">
        <is>
          <t>TL.26</t>
        </is>
      </c>
      <c r="B266" s="7" t="inlineStr">
        <is>
          <t>Integracje z Jira i Confluence on premis</t>
        </is>
      </c>
      <c r="C266" s="8" t="inlineStr">
        <is>
          <t>TL.26 - Aktualizacja artykułu w Confluence (nice to have)</t>
        </is>
      </c>
      <c r="D266" s="7" t="inlineStr">
        <is>
          <t>Sekcja</t>
        </is>
      </c>
      <c r="E266" s="30" t="n"/>
      <c r="F266" s="3" t="n"/>
    </row>
    <row r="267" ht="15" customHeight="1" s="51">
      <c r="A267" s="3" t="n"/>
      <c r="B267" s="3" t="n"/>
      <c r="C267" s="53" t="inlineStr">
        <is>
          <t>AI może aktualizować artykuły w Confluence na podstawie nowych informacji, utrzymując dokumentację w aktualnym stanie bez ręcznego edytowania.</t>
        </is>
      </c>
      <c r="D267" s="3" t="inlineStr">
        <is>
          <t>Opis</t>
        </is>
      </c>
      <c r="E267" s="30" t="n"/>
      <c r="F267" s="3" t="n"/>
    </row>
    <row r="268" ht="15" customHeight="1" s="51">
      <c r="A268" s="3" t="n"/>
      <c r="B268" s="3" t="n"/>
      <c r="D268" s="3" t="inlineStr">
        <is>
          <t>Przekazanie knowhow</t>
        </is>
      </c>
      <c r="E268" s="25" t="n"/>
      <c r="F268" s="3" t="inlineStr">
        <is>
          <t>knowhow</t>
        </is>
      </c>
      <c r="G268" s="26" t="n">
        <v>750</v>
      </c>
    </row>
    <row r="269" ht="15" customHeight="1" s="51">
      <c r="A269" s="3" t="n"/>
      <c r="B269" s="3" t="n"/>
      <c r="D269" s="3" t="inlineStr">
        <is>
          <t>Przygotowanie aktualizacji artykułów w Confluence</t>
        </is>
      </c>
      <c r="E269" s="25" t="n"/>
      <c r="F269" s="3" t="inlineStr">
        <is>
          <t>AI SDLC</t>
        </is>
      </c>
      <c r="G269" s="26" t="n">
        <v>1250</v>
      </c>
    </row>
    <row r="270" ht="15" customHeight="1" s="51">
      <c r="A270" s="3" t="n"/>
      <c r="B270" s="3" t="n"/>
      <c r="D270" s="3" t="inlineStr">
        <is>
          <t>Review prac po stronie</t>
        </is>
      </c>
      <c r="E270" s="25" t="n"/>
      <c r="F270" s="3" t="inlineStr">
        <is>
          <t>AI SDLC</t>
        </is>
      </c>
      <c r="G270" s="26" t="n">
        <v>225</v>
      </c>
    </row>
    <row r="271" ht="15" customHeight="1" s="51">
      <c r="A271" s="3" t="n"/>
      <c r="B271" s="3" t="n"/>
      <c r="D271" s="3" t="inlineStr">
        <is>
          <t>Suma TL.26</t>
        </is>
      </c>
      <c r="E271" s="25" t="n"/>
      <c r="F271" s="3" t="n"/>
      <c r="H271" s="26">
        <f>SUM(G268:G270)</f>
        <v/>
      </c>
    </row>
    <row r="272" ht="15" customHeight="1" s="51">
      <c r="A272" s="3" t="n"/>
      <c r="B272" s="3" t="n"/>
      <c r="C272" s="11" t="n"/>
      <c r="D272" s="3" t="n"/>
      <c r="E272" s="30" t="n"/>
      <c r="F272" s="3" t="n"/>
    </row>
    <row r="273" ht="16" customHeight="1" s="51">
      <c r="A273" s="7" t="inlineStr">
        <is>
          <t>TL.12</t>
        </is>
      </c>
      <c r="B273" s="7" t="inlineStr">
        <is>
          <t>Excel → XML (jednorazowe)</t>
        </is>
      </c>
      <c r="C273" s="8" t="inlineStr">
        <is>
          <t>TL.12 - Jednorazowa migracja i walidacja parametryzacji (Excel -&gt; XML)</t>
        </is>
      </c>
      <c r="D273" s="7" t="inlineStr">
        <is>
          <t>Sekcja</t>
        </is>
      </c>
      <c r="E273" s="30" t="n"/>
      <c r="F273" s="3" t="n"/>
    </row>
    <row r="274" ht="15" customHeight="1" s="51">
      <c r="A274" s="3" t="n"/>
      <c r="B274" s="3" t="n"/>
      <c r="C274" s="53" t="inlineStr">
        <is>
          <t>AI migruje i waliduje parametryzację z Excel do XML wraz z mapowaniem na pakiety i konfiguracje DB. Jednorazowa operacja eliminuje ręczne przepisywanie i ryzyko błędów.</t>
        </is>
      </c>
      <c r="D274" s="3" t="inlineStr">
        <is>
          <t>Opis</t>
        </is>
      </c>
      <c r="E274" s="30" t="n"/>
      <c r="F274" s="3" t="n"/>
    </row>
    <row r="275" ht="15" customHeight="1" s="51">
      <c r="A275" s="3" t="n"/>
      <c r="B275" s="3" t="n"/>
      <c r="D275" s="3" t="inlineStr">
        <is>
          <t>Przekazanie knowhow</t>
        </is>
      </c>
      <c r="E275" s="25" t="n"/>
      <c r="F275" s="3" t="inlineStr">
        <is>
          <t>knowhow</t>
        </is>
      </c>
      <c r="G275" s="26" t="n">
        <v>700</v>
      </c>
    </row>
    <row r="276" ht="15" customHeight="1" s="51">
      <c r="A276" s="3" t="n"/>
      <c r="B276" s="3" t="n"/>
      <c r="D276" s="3" t="inlineStr">
        <is>
          <t>Wykonanie jednorazowej migracji i walidacji parametryzacji z Excel do XML</t>
        </is>
      </c>
      <c r="E276" s="25" t="n"/>
      <c r="F276" s="3" t="inlineStr">
        <is>
          <t>AI SDLC</t>
        </is>
      </c>
      <c r="G276" s="26" t="n">
        <v>1750</v>
      </c>
    </row>
    <row r="277" ht="15" customHeight="1" s="51">
      <c r="A277" s="3" t="n"/>
      <c r="B277" s="3" t="n"/>
      <c r="D277" s="3" t="inlineStr">
        <is>
          <t>Review prac po stronie</t>
        </is>
      </c>
      <c r="E277" s="25" t="n"/>
      <c r="F277" s="3" t="inlineStr">
        <is>
          <t>AI SDLC</t>
        </is>
      </c>
      <c r="G277" s="26" t="n">
        <v>0</v>
      </c>
    </row>
    <row r="278" ht="15" customHeight="1" s="51">
      <c r="A278" s="3" t="n"/>
      <c r="B278" s="3" t="n"/>
      <c r="D278" s="3" t="inlineStr">
        <is>
          <t>Suma TL.12</t>
        </is>
      </c>
      <c r="E278" s="25" t="n"/>
      <c r="F278" s="3" t="n"/>
      <c r="H278" s="26">
        <f>SUM(G275:G277)</f>
        <v/>
      </c>
    </row>
    <row r="279" ht="15" customHeight="1" s="51">
      <c r="A279" s="3" t="n"/>
      <c r="B279" s="3" t="n"/>
      <c r="C279" s="11" t="n"/>
      <c r="D279" s="3" t="n"/>
      <c r="E279" s="30" t="n"/>
      <c r="F279" s="3" t="n"/>
    </row>
    <row r="280" ht="15" customHeight="1" s="51">
      <c r="A280" s="3" t="inlineStr">
        <is>
          <t>PODSUMOWANIE</t>
        </is>
      </c>
      <c r="B280" s="3" t="n"/>
      <c r="C280" s="11" t="n"/>
      <c r="D280" s="3" t="n"/>
      <c r="E280" s="30" t="n"/>
      <c r="F280" s="3" t="n"/>
    </row>
    <row r="281" ht="15" customHeight="1" s="51">
      <c r="A281" s="3" t="n"/>
      <c r="B281" s="3" t="n"/>
      <c r="C281" s="3" t="n"/>
      <c r="D281" s="7" t="n"/>
      <c r="E281" s="31" t="n"/>
      <c r="F281" s="7" t="inlineStr">
        <is>
          <t>Suma wszystkiego</t>
        </is>
      </c>
      <c r="H281" s="26">
        <f>SUM(H5:H278)</f>
        <v/>
      </c>
    </row>
    <row r="282" ht="15" customHeight="1" s="51">
      <c r="A282" s="3" t="n"/>
      <c r="B282" s="3" t="n"/>
      <c r="C282" s="3" t="n"/>
      <c r="D282" s="3" t="n"/>
      <c r="E282" s="25" t="n"/>
      <c r="F282" s="3" t="n"/>
    </row>
    <row r="283" ht="15" customHeight="1" s="51">
      <c r="A283" s="3" t="n"/>
      <c r="B283" s="3" t="n"/>
      <c r="C283" s="3" t="n"/>
      <c r="D283" s="3" t="n"/>
      <c r="E283" s="25" t="n"/>
      <c r="F283" s="3" t="inlineStr">
        <is>
          <t>Przekazanie knowhow (suma)</t>
        </is>
      </c>
      <c r="H283" s="26">
        <f>SUMIFS(G5:G284,F5:F284,"knowhow")</f>
        <v/>
      </c>
    </row>
    <row r="284" ht="15" customHeight="1" s="51">
      <c r="A284" s="3" t="n"/>
      <c r="B284" s="3" t="n"/>
      <c r="C284" s="3" t="n"/>
      <c r="D284" s="3" t="n"/>
      <c r="E284" s="25" t="n"/>
      <c r="F284" s="3" t="inlineStr">
        <is>
          <t>AI SDLC (suma)</t>
        </is>
      </c>
      <c r="H284" s="26">
        <f>SUMIFS(G5:G284,F5:F284,"AI SDLC")</f>
        <v/>
      </c>
    </row>
  </sheetData>
  <mergeCells count="39">
    <mergeCell ref="C176:C180"/>
    <mergeCell ref="C232:C236"/>
    <mergeCell ref="C148:C152"/>
    <mergeCell ref="C21:C25"/>
    <mergeCell ref="C253:C257"/>
    <mergeCell ref="C91:C95"/>
    <mergeCell ref="C169:C173"/>
    <mergeCell ref="C190:C194"/>
    <mergeCell ref="C70:C74"/>
    <mergeCell ref="C106:C110"/>
    <mergeCell ref="C7:C11"/>
    <mergeCell ref="C28:C32"/>
    <mergeCell ref="C239:C243"/>
    <mergeCell ref="C77:C81"/>
    <mergeCell ref="C155:C159"/>
    <mergeCell ref="C267:C271"/>
    <mergeCell ref="C49:C53"/>
    <mergeCell ref="C141:C145"/>
    <mergeCell ref="C197:C201"/>
    <mergeCell ref="C204:C208"/>
    <mergeCell ref="C42:C46"/>
    <mergeCell ref="C113:C117"/>
    <mergeCell ref="C260:C264"/>
    <mergeCell ref="C14:C18"/>
    <mergeCell ref="C225:C229"/>
    <mergeCell ref="C63:C67"/>
    <mergeCell ref="C35:C39"/>
    <mergeCell ref="C246:C250"/>
    <mergeCell ref="C162:C166"/>
    <mergeCell ref="C56:C60"/>
    <mergeCell ref="C127:C131"/>
    <mergeCell ref="C218:C222"/>
    <mergeCell ref="C274:C278"/>
    <mergeCell ref="C99:C103"/>
    <mergeCell ref="C183:C187"/>
    <mergeCell ref="C84:C88"/>
    <mergeCell ref="C134:C138"/>
    <mergeCell ref="C211:C215"/>
    <mergeCell ref="C120:C12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I817"/>
  <sheetViews>
    <sheetView workbookViewId="0">
      <selection activeCell="C30" activeCellId="2" sqref="C14 C22 C30"/>
    </sheetView>
  </sheetViews>
  <sheetFormatPr baseColWidth="10" defaultColWidth="12.6640625" defaultRowHeight="15.75" customHeight="1"/>
  <cols>
    <col width="28" customWidth="1" style="51" min="2" max="2"/>
    <col width="67.1640625" customWidth="1" style="51" min="3" max="3"/>
    <col width="67" customWidth="1" style="51" min="4" max="4"/>
    <col width="14.5" bestFit="1" customWidth="1" style="18" min="5" max="5"/>
    <col width="14" bestFit="1" customWidth="1" style="26" min="7" max="7"/>
    <col width="22" customWidth="1" style="26" min="8" max="8"/>
    <col width="50" customWidth="1" style="51" min="9" max="9"/>
  </cols>
  <sheetData>
    <row r="1" ht="20" customHeight="1" s="51">
      <c r="A1" s="1" t="inlineStr">
        <is>
          <t>Technologiczna restrukturyzacja</t>
        </is>
      </c>
      <c r="B1" s="2" t="n"/>
      <c r="C1" s="2" t="n"/>
      <c r="D1" s="2" t="n"/>
      <c r="E1" s="19" t="n"/>
      <c r="F1" s="2" t="n"/>
    </row>
    <row r="2" ht="15.75" customHeight="1" s="51">
      <c r="A2" s="4" t="inlineStr">
        <is>
          <t>BU:</t>
        </is>
      </c>
      <c r="B2" s="5" t="inlineStr">
        <is>
          <t>Capital Markets</t>
        </is>
      </c>
      <c r="C2" s="2" t="n"/>
      <c r="D2" s="2" t="n"/>
      <c r="E2" s="19" t="n"/>
      <c r="F2" s="2" t="n"/>
    </row>
    <row r="3" ht="15.75" customHeight="1" s="51">
      <c r="A3" s="2" t="n"/>
      <c r="B3" s="2" t="n"/>
      <c r="C3" s="2" t="n"/>
      <c r="D3" s="2" t="n"/>
      <c r="E3" s="19" t="n"/>
      <c r="F3" s="2" t="n"/>
    </row>
    <row r="4" ht="15" customHeight="1" s="51">
      <c r="A4" s="6" t="inlineStr">
        <is>
          <t>Kod</t>
        </is>
      </c>
      <c r="B4" s="6" t="inlineStr">
        <is>
          <t>Obszar</t>
        </is>
      </c>
      <c r="C4" s="6" t="inlineStr">
        <is>
          <t>Tytul / opis</t>
        </is>
      </c>
      <c r="D4" s="6" t="inlineStr">
        <is>
          <t>Pozycja kosztowa</t>
        </is>
      </c>
      <c r="E4" s="17" t="n"/>
      <c r="F4" s="6" t="inlineStr">
        <is>
          <t>Typ do podsumowania</t>
        </is>
      </c>
      <c r="G4" s="27" t="inlineStr">
        <is>
          <t>Cena netto [PLN]</t>
        </is>
      </c>
      <c r="H4" s="27" t="inlineStr">
        <is>
          <t>Suma</t>
        </is>
      </c>
      <c r="I4" s="73" t="inlineStr">
        <is>
          <t>Value proposition</t>
        </is>
      </c>
    </row>
    <row r="5" ht="34" customHeight="1" s="51">
      <c r="A5" s="15" t="inlineStr">
        <is>
          <t>REF.RE.1</t>
        </is>
      </c>
      <c r="B5" s="15" t="inlineStr">
        <is>
          <t>Rekomendacje</t>
        </is>
      </c>
      <c r="C5" s="15" t="inlineStr">
        <is>
          <t>REF.RE.1 - Plan migracji technologicznej + wycena etapowa</t>
        </is>
      </c>
      <c r="D5" s="15" t="inlineStr">
        <is>
          <t>Sekcja</t>
        </is>
      </c>
      <c r="E5" s="19" t="n"/>
      <c r="F5" s="2" t="n"/>
      <c r="I5" s="74" t="inlineStr">
        <is>
          <t>Klient: realny plan migracji z etapami i wyceną zamiast estymacji w ciemno.</t>
        </is>
      </c>
    </row>
    <row r="6" ht="15.75" customHeight="1" s="51">
      <c r="A6" s="2" t="n"/>
      <c r="B6" s="2" t="n"/>
      <c r="C6" s="52" t="inlineStr">
        <is>
          <t>Wspolne budowanie roadmapy migracji (etapy, ryzyka, zaleznosci) z szablonem estymacji etapowej. Klient dostaje realny plan i kosztorys zamiast estymacji w ciemno. Wsad: IK.7, REF.8, TL.K2.1. Wymagania: inwentarz modulow i zaleznosci oraz wstepne dane o uzyciu funkcjonalnosci, udzial lidera technicznego i wlascicieli kluczowych obszarow systemu. Forma: warsztat roadmapy + iteracyjne doprecyzowanie etapow, ryzyk i zaleznosci oraz wspolne review estymacji etapowej po kazdej iteracji.</t>
        </is>
      </c>
      <c r="D6" s="2" t="inlineStr">
        <is>
          <t>Opis</t>
        </is>
      </c>
      <c r="E6" s="19" t="n"/>
      <c r="F6" s="2" t="n"/>
    </row>
    <row r="7" ht="15.75" customHeight="1" s="51">
      <c r="A7" s="2" t="n"/>
      <c r="B7" s="2" t="n"/>
      <c r="D7" s="2" t="inlineStr">
        <is>
          <t>Przekazanie narzedzi</t>
        </is>
      </c>
      <c r="E7" s="20" t="n"/>
      <c r="F7" s="2" t="inlineStr">
        <is>
          <t>narzedzia</t>
        </is>
      </c>
      <c r="G7" s="26" t="n">
        <v>0</v>
      </c>
    </row>
    <row r="8" ht="15.75" customHeight="1" s="51">
      <c r="A8" s="2" t="n"/>
      <c r="B8" s="2" t="n"/>
      <c r="D8" s="2" t="inlineStr">
        <is>
          <t>Przekazanie knowhow</t>
        </is>
      </c>
      <c r="E8" s="20" t="n"/>
      <c r="F8" s="2" t="inlineStr">
        <is>
          <t>knowhow</t>
        </is>
      </c>
      <c r="G8" s="26" t="n">
        <v>0</v>
      </c>
    </row>
    <row r="9" ht="15.75" customHeight="1" s="51">
      <c r="A9" s="2" t="n"/>
      <c r="B9" s="2" t="n"/>
      <c r="D9" s="2" t="inlineStr">
        <is>
          <t>Warsztat roadmapy migracji i przygotowanie wyceny etapowej</t>
        </is>
      </c>
      <c r="E9" s="21" t="n"/>
      <c r="F9" s="2" t="inlineStr">
        <is>
          <t>Refactor</t>
        </is>
      </c>
      <c r="G9" s="26" t="n">
        <v>2500</v>
      </c>
    </row>
    <row r="10" ht="15" customHeight="1" s="51">
      <c r="A10" s="2" t="n"/>
      <c r="B10" s="2" t="n"/>
      <c r="D10" s="2" t="inlineStr">
        <is>
          <t>Review prac po stronie</t>
        </is>
      </c>
      <c r="E10" s="20" t="n"/>
      <c r="F10" s="2" t="inlineStr">
        <is>
          <t>Refactor</t>
        </is>
      </c>
      <c r="G10" s="26" t="n">
        <v>0</v>
      </c>
    </row>
    <row r="11" ht="34" customHeight="1" s="51">
      <c r="A11" s="2" t="n"/>
      <c r="B11" s="2" t="n"/>
      <c r="D11" s="2" t="inlineStr">
        <is>
          <t>Suma REF.RE.1</t>
        </is>
      </c>
      <c r="E11" s="20" t="n"/>
      <c r="F11" s="2" t="n"/>
      <c r="G11" s="28" t="n"/>
      <c r="H11" s="26">
        <f>SUM(G7:G10)</f>
        <v/>
      </c>
    </row>
    <row r="12" ht="15.75" customHeight="1" s="51">
      <c r="A12" s="2" t="n"/>
      <c r="B12" s="2" t="n"/>
      <c r="C12" s="2" t="n"/>
      <c r="D12" s="2" t="n"/>
      <c r="E12" s="19" t="n"/>
      <c r="F12" s="2" t="n"/>
      <c r="G12" s="28" t="n"/>
    </row>
    <row r="13" ht="15.75" customHeight="1" s="51">
      <c r="A13" s="2" t="n"/>
      <c r="B13" s="2" t="n"/>
      <c r="C13" s="2" t="n"/>
      <c r="D13" s="2" t="n"/>
      <c r="E13" s="19" t="n"/>
      <c r="F13" s="2" t="n"/>
      <c r="G13" s="28" t="n"/>
    </row>
    <row r="14" ht="34" customHeight="1" s="51">
      <c r="A14" s="15" t="inlineStr">
        <is>
          <t>REF.1</t>
        </is>
      </c>
      <c r="B14" s="15" t="inlineStr">
        <is>
          <t>CI/CD i build</t>
        </is>
      </c>
      <c r="C14" s="15" t="inlineStr">
        <is>
          <t>REF.1 - Standaryzacja CI/CD na Jenkinsfile</t>
        </is>
      </c>
      <c r="D14" s="15" t="inlineStr">
        <is>
          <t>Sekcja</t>
        </is>
      </c>
      <c r="E14" s="19" t="n"/>
      <c r="F14" s="2" t="n"/>
      <c r="G14" s="28" t="n"/>
      <c r="I14" s="74" t="inlineStr">
        <is>
          <t>Developer + AI: jeden znajomy flow CI/CD dla wszystkich repozytoriów.</t>
        </is>
      </c>
    </row>
    <row r="15" ht="15.75" customHeight="1" s="51">
      <c r="A15" s="2" t="n"/>
      <c r="B15" s="2" t="n"/>
      <c r="C15" s="52" t="inlineStr">
        <is>
          <t>Wzorcowy Jenkinsfile (build / test / scan / package / deploy) + biblioteka shared steps. Rollout na kluczowe repo, zeby zespol i agenty AI mialy jeden znajomy flow. Wymagania: dostep do repozytoriow i aktualnych pipelineow Jenkins. Forma: pair programming na 1 wzorcowym pipeline, potem rollout na kolejne kluczowe repozytoria.</t>
        </is>
      </c>
      <c r="D15" s="2" t="inlineStr">
        <is>
          <t>Opis</t>
        </is>
      </c>
      <c r="E15" s="19" t="n"/>
      <c r="F15" s="2" t="n"/>
      <c r="G15" s="28" t="n"/>
    </row>
    <row r="16" ht="15.75" customHeight="1" s="51">
      <c r="A16" s="2" t="n"/>
      <c r="B16" s="2" t="n"/>
      <c r="D16" s="2" t="inlineStr">
        <is>
          <t>Przekazanie narzedzi</t>
        </is>
      </c>
      <c r="E16" s="20" t="n"/>
      <c r="F16" s="2" t="inlineStr">
        <is>
          <t>narzedzia</t>
        </is>
      </c>
      <c r="G16" s="28" t="n">
        <v>0</v>
      </c>
    </row>
    <row r="17" ht="15.75" customHeight="1" s="51">
      <c r="A17" s="2" t="n"/>
      <c r="B17" s="2" t="n"/>
      <c r="D17" s="2" t="inlineStr">
        <is>
          <t>Przekazanie knowhow</t>
        </is>
      </c>
      <c r="E17" s="20" t="n"/>
      <c r="F17" s="2" t="inlineStr">
        <is>
          <t>knowhow</t>
        </is>
      </c>
      <c r="G17" s="28" t="n">
        <v>1000</v>
      </c>
    </row>
    <row r="18" ht="15.75" customHeight="1" s="51">
      <c r="A18" s="2" t="n"/>
      <c r="B18" s="2" t="n"/>
      <c r="D18" s="2" t="inlineStr">
        <is>
          <t>Wykonanie wzorcowego Jenkinsfile i shared steps dla pilota</t>
        </is>
      </c>
      <c r="E18" s="21" t="n"/>
      <c r="F18" s="2" t="inlineStr">
        <is>
          <t>Refactor</t>
        </is>
      </c>
      <c r="G18" s="28" t="n">
        <v>5000</v>
      </c>
    </row>
    <row r="19" ht="15.75" customHeight="1" s="51">
      <c r="A19" s="2" t="n"/>
      <c r="B19" s="2" t="n"/>
      <c r="D19" s="2" t="inlineStr">
        <is>
          <t>Review prac po stronie</t>
        </is>
      </c>
      <c r="E19" s="20" t="n"/>
      <c r="F19" s="2" t="inlineStr">
        <is>
          <t>Refactor</t>
        </is>
      </c>
      <c r="G19" s="28" t="n">
        <v>0</v>
      </c>
    </row>
    <row r="20" ht="15.75" customHeight="1" s="51">
      <c r="A20" s="2" t="n"/>
      <c r="B20" s="2" t="n"/>
      <c r="D20" s="2" t="inlineStr">
        <is>
          <t>Suma REF.1</t>
        </is>
      </c>
      <c r="E20" s="20" t="n"/>
      <c r="F20" s="2" t="n"/>
      <c r="G20" s="28" t="n"/>
      <c r="H20" s="26">
        <f>SUM(G16:G19)</f>
        <v/>
      </c>
    </row>
    <row r="21" ht="15.75" customHeight="1" s="51">
      <c r="A21" s="2" t="n"/>
      <c r="B21" s="2" t="n"/>
      <c r="C21" s="2" t="n"/>
      <c r="D21" s="2" t="n"/>
      <c r="E21" s="19" t="n"/>
      <c r="F21" s="2" t="n"/>
      <c r="G21" s="28" t="n"/>
    </row>
    <row r="22" ht="34" customHeight="1" s="51">
      <c r="A22" s="15" t="inlineStr">
        <is>
          <t>REF.2</t>
        </is>
      </c>
      <c r="B22" s="15" t="inlineStr">
        <is>
          <t>CI/CD i build</t>
        </is>
      </c>
      <c r="C22" s="15" t="inlineStr">
        <is>
          <t>REF.2 - Uporzadkowanie builda Ant -&gt; Maven/Gradle (dla kluczowych modulow)</t>
        </is>
      </c>
      <c r="D22" s="15" t="inlineStr">
        <is>
          <t>Sekcja</t>
        </is>
      </c>
      <c r="E22" s="19" t="n"/>
      <c r="F22" s="2" t="n"/>
      <c r="G22" s="28" t="n"/>
      <c r="I22" s="74" t="inlineStr">
        <is>
          <t>Developer: szybsze buildy, dependency management, security scanning.</t>
        </is>
      </c>
    </row>
    <row r="23" ht="15.75" customHeight="1" s="51">
      <c r="A23" s="2" t="n"/>
      <c r="B23" s="2" t="n"/>
      <c r="C23" s="55" t="inlineStr">
        <is>
          <t>Konwersja heterogenicznego buildu na standardowy: szybsze buildy, latwiejsze utrzymanie, dzialaja dependency-management i security scanning out-of-the-box. Wymagania: wskazany modul pilotazowy oparty o Ant, dzialajace srodowisko buildowe i testowe dla pilota, TL.K2.8. Forma: praca wlasna na pilocie, knowledge transfer pair programming, review po stronie  i rollout po walidacji wzorca.</t>
        </is>
      </c>
      <c r="D23" s="2" t="inlineStr">
        <is>
          <t>Opis</t>
        </is>
      </c>
      <c r="E23" s="19" t="n"/>
      <c r="F23" s="2" t="n"/>
      <c r="G23" s="28" t="n"/>
    </row>
    <row r="24" ht="15.75" customHeight="1" s="51">
      <c r="A24" s="2" t="n"/>
      <c r="B24" s="2" t="n"/>
      <c r="D24" s="2" t="inlineStr">
        <is>
          <t>Przekazanie narzedzi</t>
        </is>
      </c>
      <c r="E24" s="21" t="n"/>
      <c r="F24" s="2" t="inlineStr">
        <is>
          <t>narzedzia</t>
        </is>
      </c>
      <c r="G24" s="28" t="n">
        <v>2500</v>
      </c>
    </row>
    <row r="25" ht="15.75" customHeight="1" s="51">
      <c r="A25" s="2" t="n"/>
      <c r="B25" s="2" t="n"/>
      <c r="D25" s="2" t="inlineStr">
        <is>
          <t>Przekazanie knowhow</t>
        </is>
      </c>
      <c r="E25" s="20" t="n"/>
      <c r="F25" s="2" t="inlineStr">
        <is>
          <t>knowhow</t>
        </is>
      </c>
      <c r="G25" s="28" t="n">
        <v>0</v>
      </c>
    </row>
    <row r="26" ht="15.75" customHeight="1" s="51">
      <c r="A26" s="2" t="n"/>
      <c r="B26" s="2" t="n"/>
      <c r="D26" s="2" t="inlineStr">
        <is>
          <t>Migracja builda Ant -&gt; Maven/Gradle dla modulu pilotazowego</t>
        </is>
      </c>
      <c r="E26" s="21" t="n"/>
      <c r="F26" s="2" t="inlineStr">
        <is>
          <t>Refactor</t>
        </is>
      </c>
      <c r="G26" s="28" t="n">
        <v>15000</v>
      </c>
    </row>
    <row r="27" ht="15.75" customHeight="1" s="51">
      <c r="A27" s="2" t="n"/>
      <c r="B27" s="2" t="n"/>
      <c r="D27" s="2" t="inlineStr">
        <is>
          <t>Review prac po stronie</t>
        </is>
      </c>
      <c r="E27" s="21" t="n"/>
      <c r="F27" s="2" t="inlineStr">
        <is>
          <t>Refactor</t>
        </is>
      </c>
      <c r="G27" s="28" t="n">
        <v>1000</v>
      </c>
    </row>
    <row r="28" ht="15.75" customHeight="1" s="51">
      <c r="A28" s="2" t="n"/>
      <c r="B28" s="2" t="n"/>
      <c r="D28" s="2" t="inlineStr">
        <is>
          <t>Suma REF.2</t>
        </is>
      </c>
      <c r="E28" s="20" t="n"/>
      <c r="F28" s="2" t="n"/>
      <c r="G28" s="28" t="n"/>
      <c r="H28" s="26">
        <f>SUM(G24:G27)</f>
        <v/>
      </c>
    </row>
    <row r="29" ht="15.75" customHeight="1" s="51">
      <c r="A29" s="2" t="n"/>
      <c r="B29" s="2" t="n"/>
      <c r="C29" s="2" t="n"/>
      <c r="D29" s="2" t="n"/>
      <c r="E29" s="19" t="n"/>
      <c r="F29" s="2" t="n"/>
      <c r="G29" s="28" t="n"/>
    </row>
    <row r="30" ht="34" customHeight="1" s="51">
      <c r="A30" s="15" t="inlineStr">
        <is>
          <t>REF.3</t>
        </is>
      </c>
      <c r="B30" s="15" t="inlineStr">
        <is>
          <t>Deploy i release</t>
        </is>
      </c>
      <c r="C30" s="15" t="inlineStr">
        <is>
          <t>REF.3 - Automatyzacja deploy QA + eliminacja waskiego gardla</t>
        </is>
      </c>
      <c r="D30" s="15" t="inlineStr">
        <is>
          <t>Sekcja</t>
        </is>
      </c>
      <c r="E30" s="19" t="n"/>
      <c r="F30" s="2" t="n"/>
      <c r="G30" s="28" t="n"/>
      <c r="I30" s="74" t="inlineStr">
        <is>
          <t>Developer: self-service deploy, rollback. Koniec wąskiego gardła.</t>
        </is>
      </c>
    </row>
    <row r="31" ht="15.75" customHeight="1" s="51">
      <c r="A31" s="2" t="n"/>
      <c r="B31" s="2" t="n"/>
      <c r="C31" s="55" t="inlineStr">
        <is>
          <t>Self-service deploy na QA z pipelineu (jeden klik + API dla agenta), rollback, runbook. Eliminacja waskiego gardla tylko X potrafi wgrac release. Wymagania: dostep do srodowiska QA oraz uprawnienia do deploy/rollback, uzgodniony runbook procesu release. Forma: pair programming na 1 aplikacji / module, praca wlasna gdy wymagana, standaryzacja i rollout dla kolejnych aplikacji / modulow.</t>
        </is>
      </c>
      <c r="D31" s="2" t="inlineStr">
        <is>
          <t>Opis</t>
        </is>
      </c>
      <c r="E31" s="19" t="n"/>
      <c r="F31" s="2" t="n"/>
      <c r="G31" s="28" t="n"/>
    </row>
    <row r="32" ht="15.75" customHeight="1" s="51">
      <c r="A32" s="2" t="n"/>
      <c r="B32" s="2" t="n"/>
      <c r="D32" s="2" t="inlineStr">
        <is>
          <t>Przekazanie narzedzi</t>
        </is>
      </c>
      <c r="E32" s="20" t="n"/>
      <c r="F32" s="2" t="inlineStr">
        <is>
          <t>narzedzia</t>
        </is>
      </c>
      <c r="G32" s="28" t="n">
        <v>0</v>
      </c>
    </row>
    <row r="33" ht="15.75" customHeight="1" s="51">
      <c r="A33" s="2" t="n"/>
      <c r="B33" s="2" t="n"/>
      <c r="D33" s="2" t="inlineStr">
        <is>
          <t>Przekazanie knowhow</t>
        </is>
      </c>
      <c r="E33" s="20" t="n"/>
      <c r="F33" s="2" t="inlineStr">
        <is>
          <t>knowhow</t>
        </is>
      </c>
      <c r="G33" s="28" t="n">
        <v>0</v>
      </c>
    </row>
    <row r="34" ht="15.75" customHeight="1" s="51">
      <c r="A34" s="2" t="n"/>
      <c r="B34" s="2" t="n"/>
      <c r="D34" s="2" t="inlineStr">
        <is>
          <t>Automatyzacja deploy QA i rollback dla pilota</t>
        </is>
      </c>
      <c r="E34" s="21" t="n"/>
      <c r="F34" s="2" t="inlineStr">
        <is>
          <t>Refactor</t>
        </is>
      </c>
      <c r="G34" s="28" t="n">
        <v>2500</v>
      </c>
    </row>
    <row r="35" ht="15.75" customHeight="1" s="51">
      <c r="A35" s="2" t="n"/>
      <c r="B35" s="2" t="n"/>
      <c r="D35" s="2" t="inlineStr">
        <is>
          <t>Review prac po stronie</t>
        </is>
      </c>
      <c r="E35" s="20" t="n"/>
      <c r="F35" s="2" t="inlineStr">
        <is>
          <t>Refactor</t>
        </is>
      </c>
      <c r="G35" s="28" t="n">
        <v>0</v>
      </c>
    </row>
    <row r="36" ht="15.75" customHeight="1" s="51">
      <c r="A36" s="2" t="n"/>
      <c r="B36" s="2" t="n"/>
      <c r="D36" s="2" t="inlineStr">
        <is>
          <t>Suma REF.3</t>
        </is>
      </c>
      <c r="E36" s="20" t="n"/>
      <c r="F36" s="2" t="n"/>
      <c r="G36" s="28" t="n"/>
      <c r="H36" s="26">
        <f>SUM(G32:G35)</f>
        <v/>
      </c>
    </row>
    <row r="37" ht="15.75" customHeight="1" s="51">
      <c r="A37" s="2" t="n"/>
      <c r="B37" s="2" t="n"/>
      <c r="C37" s="2" t="n"/>
      <c r="D37" s="2" t="n"/>
      <c r="E37" s="19" t="n"/>
      <c r="F37" s="2" t="n"/>
      <c r="G37" s="28" t="n"/>
    </row>
    <row r="38" ht="34" customHeight="1" s="51">
      <c r="A38" s="15" t="inlineStr">
        <is>
          <t>REF.4</t>
        </is>
      </c>
      <c r="B38" s="15" t="inlineStr">
        <is>
          <t>Deploy i release</t>
        </is>
      </c>
      <c r="C38" s="15" t="inlineStr">
        <is>
          <t>REF.4 - Ujednolicenie zarzadzania artefaktami release</t>
        </is>
      </c>
      <c r="D38" s="15" t="inlineStr">
        <is>
          <t>Sekcja</t>
        </is>
      </c>
      <c r="E38" s="19" t="n"/>
      <c r="F38" s="2" t="n"/>
      <c r="G38" s="28" t="n"/>
      <c r="I38" s="74" t="inlineStr">
        <is>
          <t>Tech lead: w każdej chwili wiadomo co i kiedy trafiło na środowisko.</t>
        </is>
      </c>
    </row>
    <row r="39" ht="15.75" customHeight="1" s="51">
      <c r="A39" s="2" t="n"/>
      <c r="B39" s="2" t="n"/>
      <c r="C39" s="55" t="inlineStr">
        <is>
          <t>Nexus / Artifactory (lub spojny katalog z wersjonowaniem i retention). W kazdej chwili wiadomo co i kiedy trafilo na srodowisko / do klienta. Zaleznosc: REF.1. Wymagania: decyzja o docelowym repo artefaktow oraz uzgodniona polityka wersjonowania i retencji. Forma: wdrozenie polityki artefaktow dla pilota i rozszerzenie standardu na wszystkie releasey.</t>
        </is>
      </c>
      <c r="D39" s="2" t="inlineStr">
        <is>
          <t>Opis</t>
        </is>
      </c>
      <c r="E39" s="19" t="n"/>
      <c r="F39" s="2" t="n"/>
      <c r="G39" s="28" t="n"/>
    </row>
    <row r="40" ht="15.75" customHeight="1" s="51">
      <c r="A40" s="2" t="n"/>
      <c r="B40" s="2" t="n"/>
      <c r="D40" s="2" t="inlineStr">
        <is>
          <t>Przekazanie narzedzi</t>
        </is>
      </c>
      <c r="E40" s="20" t="n"/>
      <c r="F40" s="2" t="inlineStr">
        <is>
          <t>narzedzia</t>
        </is>
      </c>
      <c r="G40" s="28" t="n"/>
    </row>
    <row r="41" ht="15.75" customHeight="1" s="51">
      <c r="A41" s="2" t="n"/>
      <c r="B41" s="2" t="n"/>
      <c r="D41" s="2" t="inlineStr">
        <is>
          <t>Przekazanie knowhow</t>
        </is>
      </c>
      <c r="E41" s="21" t="n"/>
      <c r="F41" s="2" t="inlineStr">
        <is>
          <t>knowhow</t>
        </is>
      </c>
      <c r="G41" s="28" t="n">
        <v>500</v>
      </c>
    </row>
    <row r="42" ht="15.75" customHeight="1" s="51">
      <c r="A42" s="2" t="n"/>
      <c r="B42" s="2" t="n"/>
      <c r="D42" s="2" t="inlineStr">
        <is>
          <t>Ujednolicenie repo artefaktow i polityki wersjonowania</t>
        </is>
      </c>
      <c r="E42" s="21" t="n"/>
      <c r="F42" s="2" t="inlineStr">
        <is>
          <t>Refactor</t>
        </is>
      </c>
      <c r="G42" s="28" t="n">
        <v>2000</v>
      </c>
    </row>
    <row r="43" ht="15.75" customHeight="1" s="51">
      <c r="A43" s="2" t="n"/>
      <c r="B43" s="2" t="n"/>
      <c r="D43" s="2" t="inlineStr">
        <is>
          <t>Review prac po stronie</t>
        </is>
      </c>
      <c r="E43" s="20" t="n"/>
      <c r="F43" s="2" t="inlineStr">
        <is>
          <t>Refactor</t>
        </is>
      </c>
      <c r="G43" s="28" t="n">
        <v>0</v>
      </c>
    </row>
    <row r="44" ht="15.75" customHeight="1" s="51">
      <c r="A44" s="2" t="n"/>
      <c r="B44" s="2" t="n"/>
      <c r="D44" s="2" t="inlineStr">
        <is>
          <t>Suma REF.4</t>
        </is>
      </c>
      <c r="E44" s="20" t="n"/>
      <c r="F44" s="2" t="n"/>
      <c r="G44" s="28" t="n"/>
      <c r="H44" s="26">
        <f>SUM(G40:G43)</f>
        <v/>
      </c>
    </row>
    <row r="45" ht="15.75" customHeight="1" s="51">
      <c r="A45" s="2" t="n"/>
      <c r="B45" s="2" t="n"/>
      <c r="C45" s="2" t="n"/>
      <c r="D45" s="2" t="n"/>
      <c r="E45" s="19" t="n"/>
      <c r="F45" s="2" t="n"/>
      <c r="G45" s="28" t="n"/>
    </row>
    <row r="46" ht="34" customHeight="1" s="51">
      <c r="A46" s="15" t="inlineStr">
        <is>
          <t>REF.5</t>
        </is>
      </c>
      <c r="B46" s="15" t="inlineStr">
        <is>
          <t>Deploy i release</t>
        </is>
      </c>
      <c r="C46" s="15" t="inlineStr">
        <is>
          <t>REF.5 - Automatyzacja iOS build/release (dedykowany Mac worker + Fastlane)</t>
        </is>
      </c>
      <c r="D46" s="15" t="inlineStr">
        <is>
          <t>Sekcja</t>
        </is>
      </c>
      <c r="E46" s="19" t="n"/>
      <c r="F46" s="2" t="n"/>
      <c r="G46" s="28" t="n"/>
      <c r="I46" s="74" t="inlineStr">
        <is>
          <t>iOS developer: build i podpisywanie w pipeline. Koniec ręcznych obejść.</t>
        </is>
      </c>
    </row>
    <row r="47" ht="15.75" customHeight="1" s="51">
      <c r="A47" s="2" t="n"/>
      <c r="B47" s="2" t="n"/>
      <c r="C47" s="55" t="inlineStr">
        <is>
          <t>Mac jako Jenkins agent, certyfikaty/profile przez Fastlane, build i podpisywanie w pipeline. Koniec recznych obejsc z kontami i uprawnieniami. Wymagania: sprzet Mac oraz konto Apple Developer. Forma: konfiguracja Mac workera + Fastlane na jednym pipeline iOS, knowledge transfer pair programming, walidacja podpisywania i publikacji, nastepnie rollout.</t>
        </is>
      </c>
      <c r="D47" s="2" t="inlineStr">
        <is>
          <t>Opis</t>
        </is>
      </c>
      <c r="E47" s="19" t="n"/>
      <c r="F47" s="2" t="n"/>
      <c r="G47" s="28" t="n"/>
    </row>
    <row r="48" ht="15.75" customHeight="1" s="51">
      <c r="A48" s="2" t="n"/>
      <c r="B48" s="2" t="n"/>
      <c r="D48" s="2" t="inlineStr">
        <is>
          <t>Przekazanie narzedzi</t>
        </is>
      </c>
      <c r="E48" s="20" t="n"/>
      <c r="F48" s="2" t="inlineStr">
        <is>
          <t>narzedzia</t>
        </is>
      </c>
      <c r="G48" s="28" t="n">
        <v>0</v>
      </c>
    </row>
    <row r="49" ht="15.75" customHeight="1" s="51">
      <c r="A49" s="2" t="n"/>
      <c r="B49" s="2" t="n"/>
      <c r="D49" s="2" t="inlineStr">
        <is>
          <t>Przekazanie knowhow</t>
        </is>
      </c>
      <c r="E49" s="20" t="n"/>
      <c r="F49" s="2" t="inlineStr">
        <is>
          <t>knowhow</t>
        </is>
      </c>
      <c r="G49" s="28" t="n">
        <v>1000</v>
      </c>
    </row>
    <row r="50" ht="15.75" customHeight="1" s="51">
      <c r="A50" s="2" t="n"/>
      <c r="B50" s="2" t="n"/>
      <c r="D50" s="2" t="inlineStr">
        <is>
          <t>Konfiguracja Mac workera i Fastlane dla pipeline iOS</t>
        </is>
      </c>
      <c r="E50" s="20" t="n"/>
      <c r="F50" s="2" t="inlineStr">
        <is>
          <t>Refactor</t>
        </is>
      </c>
      <c r="G50" s="28" t="n">
        <v>3000</v>
      </c>
    </row>
    <row r="51" ht="15.75" customHeight="1" s="51">
      <c r="A51" s="2" t="n"/>
      <c r="B51" s="2" t="n"/>
      <c r="D51" s="2" t="inlineStr">
        <is>
          <t>Review prac po stronie</t>
        </is>
      </c>
      <c r="E51" s="20" t="n"/>
      <c r="F51" s="2" t="inlineStr">
        <is>
          <t>Refactor</t>
        </is>
      </c>
      <c r="G51" s="28" t="n">
        <v>500</v>
      </c>
    </row>
    <row r="52" ht="15.75" customHeight="1" s="51">
      <c r="A52" s="2" t="n"/>
      <c r="B52" s="2" t="n"/>
      <c r="D52" s="2" t="inlineStr">
        <is>
          <t>Suma REF.5</t>
        </is>
      </c>
      <c r="E52" s="20" t="n"/>
      <c r="F52" s="2" t="n"/>
      <c r="G52" s="28" t="n"/>
      <c r="H52" s="26">
        <f>SUM(G48:G51)</f>
        <v/>
      </c>
    </row>
    <row r="53" ht="15.75" customHeight="1" s="51">
      <c r="A53" s="2" t="n"/>
      <c r="B53" s="2" t="n"/>
      <c r="C53" s="2" t="n"/>
      <c r="D53" s="2" t="n"/>
      <c r="E53" s="19" t="n"/>
      <c r="F53" s="2" t="n"/>
      <c r="G53" s="28" t="n"/>
    </row>
    <row r="54" ht="34" customHeight="1" s="51">
      <c r="A54" s="15" t="inlineStr">
        <is>
          <t>REF.6</t>
        </is>
      </c>
      <c r="B54" s="15" t="inlineStr">
        <is>
          <t>Security gates (infrastructure)</t>
        </is>
      </c>
      <c r="C54" s="15" t="inlineStr">
        <is>
          <t>REF.6 - Fortify (lub odpowiednik) + Dependency-Track w Jenkinsfile z gatingiem</t>
        </is>
      </c>
      <c r="D54" s="15" t="inlineStr">
        <is>
          <t>Sekcja</t>
        </is>
      </c>
      <c r="E54" s="19" t="n"/>
      <c r="F54" s="2" t="n"/>
      <c r="G54" s="28" t="n"/>
      <c r="I54" s="74" t="inlineStr">
        <is>
          <t>Security: stałe skany SAST/SCA jako warunki blokujące w pipeline.</t>
        </is>
      </c>
    </row>
    <row r="55" ht="15" customHeight="1" s="51">
      <c r="A55" s="2" t="n"/>
      <c r="B55" s="2" t="n"/>
      <c r="C55" s="52" t="inlineStr">
        <is>
          <t>Stale skany SAST/SCA jako warunki blokujace w pipeline; jednolity format raportu; jasna odpowiedzialnosc za naprawy. Pilot na jednym repo, potem rollout. Warstwa AI: TL.K2.15. Wymagania: dostep do Fortify (lub odpowiednik) i Dependency-Track oraz ustalone progi gatingu, przypisani wlasciciele napraw dla wykrytych podatnosci. Forma: pilot na jednym repozytorium, knowledge transfer pair programming, rollout po kalibracji progow.</t>
        </is>
      </c>
      <c r="D55" s="2" t="inlineStr">
        <is>
          <t>Opis</t>
        </is>
      </c>
      <c r="E55" s="19" t="n"/>
      <c r="F55" s="2" t="n"/>
      <c r="G55" s="28" t="n"/>
    </row>
    <row r="56" ht="15" customHeight="1" s="51">
      <c r="A56" s="2" t="n"/>
      <c r="B56" s="2" t="n"/>
      <c r="D56" s="2" t="inlineStr">
        <is>
          <t>Przekazanie narzedzi</t>
        </is>
      </c>
      <c r="E56" s="20" t="n"/>
      <c r="F56" s="2" t="inlineStr">
        <is>
          <t>narzedzia</t>
        </is>
      </c>
      <c r="G56" s="28" t="n">
        <v>0</v>
      </c>
    </row>
    <row r="57" ht="15" customHeight="1" s="51">
      <c r="A57" s="2" t="n"/>
      <c r="B57" s="2" t="n"/>
      <c r="D57" s="2" t="inlineStr">
        <is>
          <t>Przekazanie knowhow</t>
        </is>
      </c>
      <c r="E57" s="20" t="n"/>
      <c r="F57" s="2" t="inlineStr">
        <is>
          <t>knowhow</t>
        </is>
      </c>
      <c r="G57" s="28" t="n">
        <v>0</v>
      </c>
    </row>
    <row r="58" ht="15" customHeight="1" s="51">
      <c r="A58" s="2" t="n"/>
      <c r="B58" s="2" t="n"/>
      <c r="D58" s="2" t="inlineStr">
        <is>
          <t>Wlaczenie Fortify/Dependency-Track z gatingiem na pilocie</t>
        </is>
      </c>
      <c r="E58" s="20" t="n"/>
      <c r="F58" s="2" t="inlineStr">
        <is>
          <t>Refactor</t>
        </is>
      </c>
      <c r="G58" s="28" t="n">
        <v>2500</v>
      </c>
    </row>
    <row r="59" ht="15" customHeight="1" s="51">
      <c r="A59" s="2" t="n"/>
      <c r="B59" s="2" t="n"/>
      <c r="D59" s="2" t="inlineStr">
        <is>
          <t>Review prac po stronie</t>
        </is>
      </c>
      <c r="E59" s="20" t="n"/>
      <c r="F59" s="2" t="inlineStr">
        <is>
          <t>Refactor</t>
        </is>
      </c>
      <c r="G59" s="28" t="n">
        <v>0</v>
      </c>
    </row>
    <row r="60" ht="32" customHeight="1" s="51">
      <c r="A60" s="2" t="n"/>
      <c r="B60" s="2" t="n"/>
      <c r="D60" s="2" t="inlineStr">
        <is>
          <t>Suma REF.6</t>
        </is>
      </c>
      <c r="E60" s="20" t="n"/>
      <c r="F60" s="2" t="n"/>
      <c r="G60" s="28" t="n"/>
      <c r="H60" s="26">
        <f>SUM(G56:G59)</f>
        <v/>
      </c>
    </row>
    <row r="61" ht="15" customHeight="1" s="51">
      <c r="A61" s="2" t="n"/>
      <c r="B61" s="2" t="n"/>
      <c r="C61" s="2" t="n"/>
      <c r="D61" s="2" t="n"/>
      <c r="E61" s="19" t="n"/>
      <c r="F61" s="2" t="n"/>
      <c r="G61" s="28" t="n"/>
    </row>
    <row r="62" ht="15" customHeight="1" s="51">
      <c r="A62" s="15" t="inlineStr">
        <is>
          <t>REF.7</t>
        </is>
      </c>
      <c r="B62" s="15" t="inlineStr">
        <is>
          <t>Observability</t>
        </is>
      </c>
      <c r="C62" s="15" t="inlineStr">
        <is>
          <t>REF.7 - OpenTelemetry + agregacja logow</t>
        </is>
      </c>
      <c r="D62" s="15" t="inlineStr">
        <is>
          <t>Sekcja</t>
        </is>
      </c>
      <c r="E62" s="19" t="n"/>
      <c r="F62" s="2" t="n"/>
      <c r="G62" s="28" t="n"/>
    </row>
    <row r="63" ht="15" customHeight="1" s="51">
      <c r="A63" s="2" t="n"/>
      <c r="B63" s="2" t="n"/>
      <c r="C63" s="52" t="inlineStr">
        <is>
          <t>Instrumentacja OTel (traces + metryki) + backend agregacyjny (Tempo/Loki/Prometheus lub Datadog). Szybsze RCA, regresje wychodza od razu po wdrozeniach. Warstwa AI: TL.K2.17. Wymagania: decyzja o backendzie obserwowalnosci oraz dostep do uslug pilotazowych i logow aplikacyjnych. Forma: instrumentacja pilota + dashboardy i alerty bazowe, knowledge transfer pair programming, stopniowy rollout na kolejne moduly.</t>
        </is>
      </c>
      <c r="D63" s="2" t="inlineStr">
        <is>
          <t>Opis</t>
        </is>
      </c>
      <c r="E63" s="19" t="n"/>
      <c r="F63" s="2" t="n"/>
      <c r="G63" s="28" t="n"/>
    </row>
    <row r="64" ht="15" customHeight="1" s="51">
      <c r="A64" s="2" t="n"/>
      <c r="B64" s="2" t="n"/>
      <c r="D64" s="2" t="inlineStr">
        <is>
          <t>Przekazanie narzedzi</t>
        </is>
      </c>
      <c r="E64" s="20" t="n"/>
      <c r="F64" s="2" t="inlineStr">
        <is>
          <t>narzedzia</t>
        </is>
      </c>
      <c r="G64" s="28" t="n">
        <v>0</v>
      </c>
    </row>
    <row r="65" ht="15" customHeight="1" s="51">
      <c r="A65" s="2" t="n"/>
      <c r="B65" s="2" t="n"/>
      <c r="D65" s="2" t="inlineStr">
        <is>
          <t>Przekazanie knowhow</t>
        </is>
      </c>
      <c r="E65" s="20" t="n"/>
      <c r="F65" s="2" t="inlineStr">
        <is>
          <t>knowhow</t>
        </is>
      </c>
      <c r="G65" s="28" t="n">
        <v>0</v>
      </c>
    </row>
    <row r="66" ht="15" customHeight="1" s="51">
      <c r="A66" s="2" t="n"/>
      <c r="B66" s="2" t="n"/>
      <c r="D66" s="2" t="inlineStr">
        <is>
          <t>Instrumentacja OpenTelemetry + dashboardy dla pilota</t>
        </is>
      </c>
      <c r="E66" s="20" t="n"/>
      <c r="F66" s="2" t="inlineStr">
        <is>
          <t>Refactor</t>
        </is>
      </c>
      <c r="G66" s="28" t="n">
        <v>2500</v>
      </c>
    </row>
    <row r="67" ht="29" customHeight="1" s="51">
      <c r="A67" s="2" t="n"/>
      <c r="B67" s="2" t="n"/>
      <c r="D67" s="2" t="inlineStr">
        <is>
          <t>Review prac po stronie</t>
        </is>
      </c>
      <c r="E67" s="20" t="n"/>
      <c r="F67" s="2" t="inlineStr">
        <is>
          <t>Refactor</t>
        </is>
      </c>
      <c r="G67" s="28" t="n">
        <v>500</v>
      </c>
    </row>
    <row r="68" ht="15" customHeight="1" s="51">
      <c r="A68" s="2" t="n"/>
      <c r="B68" s="2" t="n"/>
      <c r="D68" s="2" t="inlineStr">
        <is>
          <t>Suma REF.7</t>
        </is>
      </c>
      <c r="E68" s="20" t="n"/>
      <c r="F68" s="2" t="n"/>
      <c r="G68" s="28" t="n"/>
      <c r="H68" s="26">
        <f>SUM(G64:G67)</f>
        <v/>
      </c>
    </row>
    <row r="69" ht="15" customHeight="1" s="51">
      <c r="A69" s="2" t="n"/>
      <c r="B69" s="2" t="n"/>
      <c r="C69" s="2" t="n"/>
      <c r="D69" s="2" t="n"/>
      <c r="E69" s="19" t="n"/>
      <c r="F69" s="2" t="n"/>
      <c r="G69" s="28" t="n"/>
    </row>
    <row r="70" ht="15" customHeight="1" s="51">
      <c r="A70" s="15" t="inlineStr">
        <is>
          <t>REF.8</t>
        </is>
      </c>
      <c r="B70" s="15" t="inlineStr">
        <is>
          <t>Observability</t>
        </is>
      </c>
      <c r="C70" s="15" t="inlineStr">
        <is>
          <t>REF.8 - Audyt martwego kodu i funkcji przed migracja (opcjonalne)</t>
        </is>
      </c>
      <c r="D70" s="15" t="inlineStr">
        <is>
          <t>Sekcja</t>
        </is>
      </c>
      <c r="E70" s="19" t="n"/>
      <c r="F70" s="2" t="n"/>
      <c r="G70" s="28" t="n"/>
    </row>
    <row r="71" ht="15" customHeight="1" s="51">
      <c r="A71" s="2" t="n"/>
      <c r="B71" s="2" t="n"/>
      <c r="C71" s="52" t="inlineStr">
        <is>
          <t>Zestawienie danych z uzycia produkcji z mapa funkcji, zeby zredukowac scope migracji o realnie nieuzywane elementy. Wejscie do REF.RE.1. Audyt mozna zrealizowac przez parsowanie istniejacych logow, minimalna celowa instrumentacje oraz docelowo przez pelna telemetrie. Wymagania: dostep do istniejacych logow produkcyjnych i audytowych (z anonimizacja, offline) oraz mapa funkcjonalnosci biznesowych. Forma: identyfikacja zrodel i mapowania, realizacja etapow 1 i 2 jako wejscie do decyzji migracyjnych, warsztat omawiajacy, usuniecie kodu martwego, przejscie na ciagly audyt po wdrozeniu REF.7.</t>
        </is>
      </c>
      <c r="D71" s="2" t="inlineStr">
        <is>
          <t>Opis</t>
        </is>
      </c>
      <c r="E71" s="19" t="n"/>
      <c r="F71" s="2" t="n"/>
      <c r="G71" s="28" t="n"/>
    </row>
    <row r="72" ht="15" customHeight="1" s="51">
      <c r="A72" s="2" t="n"/>
      <c r="B72" s="2" t="n"/>
      <c r="D72" s="2" t="inlineStr">
        <is>
          <t>Przekazanie narzedzi</t>
        </is>
      </c>
      <c r="E72" s="20" t="n"/>
      <c r="F72" s="2" t="inlineStr">
        <is>
          <t>narzedzia</t>
        </is>
      </c>
      <c r="G72" s="28" t="n">
        <v>1000</v>
      </c>
    </row>
    <row r="73" ht="15" customHeight="1" s="51">
      <c r="A73" s="2" t="n"/>
      <c r="B73" s="2" t="n"/>
      <c r="D73" s="2" t="inlineStr">
        <is>
          <t>Przekazanie knowhow</t>
        </is>
      </c>
      <c r="E73" s="20" t="n"/>
      <c r="F73" s="2" t="inlineStr">
        <is>
          <t>knowhow</t>
        </is>
      </c>
      <c r="G73" s="28" t="n">
        <v>0</v>
      </c>
    </row>
    <row r="74" ht="15" customHeight="1" s="51">
      <c r="A74" s="2" t="n"/>
      <c r="B74" s="2" t="n"/>
      <c r="D74" s="2" t="inlineStr">
        <is>
          <t>Realizacja audytu martwego kodu i usuniecie nieuzywanych elementow</t>
        </is>
      </c>
      <c r="E74" s="21" t="n"/>
      <c r="F74" s="2" t="inlineStr">
        <is>
          <t>Refactor</t>
        </is>
      </c>
      <c r="G74" s="28" t="n">
        <v>4000</v>
      </c>
    </row>
    <row r="75" ht="15" customHeight="1" s="51">
      <c r="A75" s="2" t="n"/>
      <c r="B75" s="2" t="n"/>
      <c r="D75" s="2" t="inlineStr">
        <is>
          <t>Review prac po stronie</t>
        </is>
      </c>
      <c r="E75" s="20" t="n"/>
      <c r="F75" s="2" t="inlineStr">
        <is>
          <t>Refactor</t>
        </is>
      </c>
      <c r="G75" s="28" t="n">
        <v>0</v>
      </c>
    </row>
    <row r="76" ht="55" customHeight="1" s="51">
      <c r="A76" s="2" t="n"/>
      <c r="B76" s="2" t="n"/>
      <c r="D76" s="2" t="inlineStr">
        <is>
          <t>Suma REF.8</t>
        </is>
      </c>
      <c r="E76" s="20" t="n"/>
      <c r="F76" s="2" t="n"/>
      <c r="G76" s="28" t="n"/>
      <c r="H76" s="26">
        <f>SUM(G72:G75)</f>
        <v/>
      </c>
    </row>
    <row r="77" ht="15" customHeight="1" s="51">
      <c r="A77" s="2" t="n"/>
      <c r="B77" s="2" t="n"/>
      <c r="C77" s="2" t="n"/>
      <c r="D77" s="2" t="n"/>
      <c r="E77" s="19" t="n"/>
      <c r="F77" s="2" t="n"/>
      <c r="G77" s="28" t="n"/>
    </row>
    <row r="78" ht="15" customHeight="1" s="51">
      <c r="A78" s="15" t="inlineStr">
        <is>
          <t>REF.16</t>
        </is>
      </c>
      <c r="B78" s="15" t="inlineStr">
        <is>
          <t>Observability - minimalna wersja pod audyt</t>
        </is>
      </c>
      <c r="C78" s="15" t="inlineStr">
        <is>
          <t>REF.16 - Lekka instrumentacja uzycia funkcjonalnosci (bridge miedzy REF.8 a REF.7)</t>
        </is>
      </c>
      <c r="D78" s="15" t="inlineStr">
        <is>
          <t>Sekcja</t>
        </is>
      </c>
      <c r="E78" s="19" t="n"/>
      <c r="F78" s="2" t="n"/>
      <c r="G78" s="28" t="n"/>
    </row>
    <row r="79" ht="15" customHeight="1" s="51">
      <c r="A79" s="2" t="n"/>
      <c r="B79" s="2" t="n"/>
      <c r="C79" s="55" t="inlineStr">
        <is>
          <t>Waskie sondy w warstwach wejscia aplikacji (servlet filter / AOP interceptor / event UI), zapisujace fakt uzycia danej funkcjonalnosci do osobnej tabeli / pliku, z mapowaniem na warstwe biznesowa. Cel: zebrac twarde dane co realnie jest uzywane w 1-3 miesiace bez czekania na pelny rollout REF.7. Wymagania: wskazane punkty wejscia aplikacji do sondowania oraz uzgodnione mapowanie zdarzen technicznych na funkcjonalnosc biznesowa. Forma: wdrozenie lekkiej instrumentacji na pilocie, gromadzenie danych / obserwacja 1-3 miesiace, wspolne review wynikow.</t>
        </is>
      </c>
      <c r="D79" s="2" t="inlineStr">
        <is>
          <t>Opis</t>
        </is>
      </c>
      <c r="E79" s="19" t="n"/>
      <c r="F79" s="2" t="n"/>
      <c r="G79" s="28" t="n"/>
    </row>
    <row r="80" ht="15" customHeight="1" s="51">
      <c r="A80" s="2" t="n"/>
      <c r="B80" s="2" t="n"/>
      <c r="D80" s="2" t="inlineStr">
        <is>
          <t>Przekazanie narzedzi</t>
        </is>
      </c>
      <c r="E80" s="20" t="n"/>
      <c r="F80" s="2" t="inlineStr">
        <is>
          <t>narzedzia</t>
        </is>
      </c>
      <c r="G80" s="28" t="n">
        <v>0</v>
      </c>
    </row>
    <row r="81" ht="15" customHeight="1" s="51">
      <c r="A81" s="2" t="n"/>
      <c r="B81" s="2" t="n"/>
      <c r="D81" s="2" t="inlineStr">
        <is>
          <t>Przekazanie knowhow</t>
        </is>
      </c>
      <c r="E81" s="20" t="n"/>
      <c r="F81" s="2" t="inlineStr">
        <is>
          <t>knowhow</t>
        </is>
      </c>
      <c r="G81" s="28" t="n">
        <v>0</v>
      </c>
    </row>
    <row r="82" ht="15" customHeight="1" s="51">
      <c r="A82" s="2" t="n"/>
      <c r="B82" s="2" t="n"/>
      <c r="D82" s="2" t="inlineStr">
        <is>
          <t>Wdrozenie lekkiej instrumentacji uzycia funkcjonalnosci</t>
        </is>
      </c>
      <c r="E82" s="21" t="n"/>
      <c r="F82" s="2" t="inlineStr">
        <is>
          <t>Refactor</t>
        </is>
      </c>
      <c r="G82" s="28" t="n">
        <v>2000</v>
      </c>
    </row>
    <row r="83" ht="15" customHeight="1" s="51">
      <c r="A83" s="2" t="n"/>
      <c r="B83" s="2" t="n"/>
      <c r="D83" s="2" t="inlineStr">
        <is>
          <t>Review prac po stronie</t>
        </is>
      </c>
      <c r="E83" s="21" t="n"/>
      <c r="F83" s="2" t="inlineStr">
        <is>
          <t>Refactor</t>
        </is>
      </c>
      <c r="G83" s="28" t="n">
        <v>500</v>
      </c>
    </row>
    <row r="84" ht="56" customHeight="1" s="51">
      <c r="A84" s="2" t="n"/>
      <c r="B84" s="2" t="n"/>
      <c r="D84" s="2" t="inlineStr">
        <is>
          <t>Suma REF.16</t>
        </is>
      </c>
      <c r="E84" s="20" t="n"/>
      <c r="F84" s="2" t="n"/>
      <c r="G84" s="28" t="n"/>
      <c r="H84" s="26">
        <f>SUM(G80:G83)</f>
        <v/>
      </c>
    </row>
    <row r="85" ht="15" customHeight="1" s="51">
      <c r="A85" s="2" t="n"/>
      <c r="B85" s="2" t="n"/>
      <c r="C85" s="2" t="n"/>
      <c r="D85" s="2" t="n"/>
      <c r="E85" s="19" t="n"/>
      <c r="F85" s="2" t="n"/>
      <c r="G85" s="28" t="n"/>
    </row>
    <row r="86" ht="15" customHeight="1" s="51">
      <c r="A86" s="15" t="inlineStr">
        <is>
          <t>REF.9</t>
        </is>
      </c>
      <c r="B86" s="15" t="inlineStr">
        <is>
          <t>Baza danych</t>
        </is>
      </c>
      <c r="C86" s="15" t="inlineStr">
        <is>
          <t>REF.9 - Wprowadzenie narzedzia do wersjonowania zmian w bazie (Flyway lub Liquibase)</t>
        </is>
      </c>
      <c r="D86" s="15" t="inlineStr">
        <is>
          <t>Sekcja</t>
        </is>
      </c>
      <c r="E86" s="19" t="n"/>
      <c r="F86" s="2" t="n"/>
      <c r="G86" s="28" t="n"/>
    </row>
    <row r="87" ht="15" customHeight="1" s="51">
      <c r="A87" s="2" t="n"/>
      <c r="B87" s="2" t="n"/>
      <c r="C87" s="52" t="inlineStr">
        <is>
          <t>Zastapienie wewnetrznego narzedzia do instalacji skryptow DB standardowym Flywayem / Liquibasem: wersjonowane migracje w repo, deterministyczne odtworzenie schematu, integracja z pipelineem deployu (REF.3) i z release artefaktem (REF.4). Wymagania: dostep do aktualnych skryptow DB i historii wdrozen, decyzja Flyway vs Liquibase oraz standard nazewnictwa migracji. Forma: jednorazowy baseline istniejacego schematu, knowledge transfer pair programming, warsztat omawiajacy.</t>
        </is>
      </c>
      <c r="D87" s="2" t="inlineStr">
        <is>
          <t>Opis</t>
        </is>
      </c>
      <c r="E87" s="19" t="n"/>
      <c r="F87" s="2" t="n"/>
      <c r="G87" s="28" t="n"/>
    </row>
    <row r="88" ht="15" customHeight="1" s="51">
      <c r="A88" s="2" t="n"/>
      <c r="B88" s="2" t="n"/>
      <c r="D88" s="2" t="inlineStr">
        <is>
          <t>Przekazanie narzedzi</t>
        </is>
      </c>
      <c r="E88" s="20" t="n"/>
      <c r="F88" s="2" t="inlineStr">
        <is>
          <t>narzedzia</t>
        </is>
      </c>
      <c r="G88" s="28" t="n">
        <v>0</v>
      </c>
    </row>
    <row r="89" ht="15" customHeight="1" s="51">
      <c r="A89" s="2" t="n"/>
      <c r="B89" s="2" t="n"/>
      <c r="D89" s="2" t="inlineStr">
        <is>
          <t>Przekazanie knowhow</t>
        </is>
      </c>
      <c r="E89" s="21" t="n"/>
      <c r="F89" s="2" t="inlineStr">
        <is>
          <t>knowhow</t>
        </is>
      </c>
      <c r="G89" s="28" t="n">
        <v>500</v>
      </c>
    </row>
    <row r="90" ht="15" customHeight="1" s="51">
      <c r="A90" s="2" t="n"/>
      <c r="B90" s="2" t="n"/>
      <c r="D90" s="2" t="inlineStr">
        <is>
          <t>Wprowadzenie Flyway/Liquibase z baseline istniejacego schematu</t>
        </is>
      </c>
      <c r="E90" s="21" t="n"/>
      <c r="F90" s="2" t="inlineStr">
        <is>
          <t>Refactor</t>
        </is>
      </c>
      <c r="G90" s="28" t="n">
        <v>2500</v>
      </c>
    </row>
    <row r="91" ht="15" customHeight="1" s="51">
      <c r="A91" s="2" t="n"/>
      <c r="B91" s="2" t="n"/>
      <c r="D91" s="2" t="inlineStr">
        <is>
          <t>Review prac po stronie</t>
        </is>
      </c>
      <c r="E91" s="20" t="n"/>
      <c r="F91" s="2" t="inlineStr">
        <is>
          <t>Refactor</t>
        </is>
      </c>
      <c r="G91" s="28" t="n">
        <v>0</v>
      </c>
    </row>
    <row r="92" ht="50" customHeight="1" s="51">
      <c r="A92" s="2" t="n"/>
      <c r="B92" s="2" t="n"/>
      <c r="D92" s="2" t="inlineStr">
        <is>
          <t>Suma REF.9</t>
        </is>
      </c>
      <c r="E92" s="20" t="n"/>
      <c r="F92" s="2" t="n"/>
      <c r="G92" s="28" t="n"/>
      <c r="H92" s="26">
        <f>SUM(G88:G91)</f>
        <v/>
      </c>
    </row>
    <row r="93" ht="15" customHeight="1" s="51">
      <c r="A93" s="2" t="n"/>
      <c r="B93" s="2" t="n"/>
      <c r="C93" s="2" t="n"/>
      <c r="D93" s="2" t="n"/>
      <c r="E93" s="19" t="n"/>
      <c r="F93" s="2" t="n"/>
      <c r="G93" s="28" t="n"/>
    </row>
    <row r="94" ht="15" customHeight="1" s="51">
      <c r="A94" s="15" t="inlineStr">
        <is>
          <t>REF.10</t>
        </is>
      </c>
      <c r="B94" s="15" t="inlineStr">
        <is>
          <t>Upgrade stosu technologicznego</t>
        </is>
      </c>
      <c r="C94" s="15" t="inlineStr">
        <is>
          <t>REF.10 - Upgrade serwera aplikacyjnego (Wildfly / JBoss EAP)</t>
        </is>
      </c>
      <c r="D94" s="15" t="inlineStr">
        <is>
          <t>Sekcja</t>
        </is>
      </c>
      <c r="E94" s="19" t="n"/>
      <c r="F94" s="2" t="n"/>
      <c r="G94" s="28" t="n"/>
    </row>
    <row r="95" ht="15" customHeight="1" s="51">
      <c r="A95" s="2" t="n"/>
      <c r="B95" s="2" t="n"/>
      <c r="C95" s="52" t="inlineStr">
        <is>
          <t>Podniesienie obecnego Wildfly do nowszej wersji LTS / JBoss EAP, zeby odblokowac nowsze wersje Javy, EJB i bibliotek. Warunek wstepny dla REF.11. Wymagania: decyzja odnosnie docelowego serwera lub opcji, srodowisko testowe z mozliwoscia rownoleglego uruchomienia nowej wersji serwera, lista modulow / konektorow o podwyzszonym ryzyku kompatybilnosci. Forma: pilot na jednej aplikacji, walidacja kompatybilnosci przez pair programming i QA , etapowy rollout kolejnych aplikacji.</t>
        </is>
      </c>
      <c r="D95" s="2" t="inlineStr">
        <is>
          <t>Opis</t>
        </is>
      </c>
      <c r="E95" s="19" t="n"/>
      <c r="F95" s="2" t="n"/>
      <c r="G95" s="28" t="n"/>
    </row>
    <row r="96" ht="15" customHeight="1" s="51">
      <c r="A96" s="2" t="n"/>
      <c r="B96" s="2" t="n"/>
      <c r="D96" s="2" t="inlineStr">
        <is>
          <t>Przekazanie narzedzi</t>
        </is>
      </c>
      <c r="E96" s="20" t="n"/>
      <c r="F96" s="2" t="inlineStr">
        <is>
          <t>narzedzia</t>
        </is>
      </c>
      <c r="G96" s="28" t="n">
        <v>0</v>
      </c>
    </row>
    <row r="97" ht="15" customHeight="1" s="51">
      <c r="A97" s="2" t="n"/>
      <c r="B97" s="2" t="n"/>
      <c r="D97" s="2" t="inlineStr">
        <is>
          <t>Przekazanie knowhow</t>
        </is>
      </c>
      <c r="E97" s="20" t="n"/>
      <c r="F97" s="2" t="inlineStr">
        <is>
          <t>knowhow</t>
        </is>
      </c>
      <c r="G97" s="28" t="n">
        <v>0</v>
      </c>
    </row>
    <row r="98" ht="15" customHeight="1" s="51">
      <c r="A98" s="2" t="n"/>
      <c r="B98" s="2" t="n"/>
      <c r="D98" s="2" t="inlineStr">
        <is>
          <t>Upgrade serwera aplikacyjnego na aplikacji pilotazowej</t>
        </is>
      </c>
      <c r="E98" s="20" t="n"/>
      <c r="F98" s="2" t="inlineStr">
        <is>
          <t>Refactor</t>
        </is>
      </c>
      <c r="G98" s="28" t="n">
        <v>5000</v>
      </c>
    </row>
    <row r="99" ht="15" customHeight="1" s="51">
      <c r="A99" s="2" t="n"/>
      <c r="B99" s="2" t="n"/>
      <c r="D99" s="2" t="inlineStr">
        <is>
          <t>Review prac po stronie</t>
        </is>
      </c>
      <c r="E99" s="20" t="n"/>
      <c r="F99" s="2" t="inlineStr">
        <is>
          <t>Refactor</t>
        </is>
      </c>
      <c r="G99" s="28" t="n">
        <v>500</v>
      </c>
    </row>
    <row r="100" ht="52" customHeight="1" s="51">
      <c r="A100" s="2" t="n"/>
      <c r="B100" s="2" t="n"/>
      <c r="D100" s="2" t="inlineStr">
        <is>
          <t>Suma REF.10</t>
        </is>
      </c>
      <c r="E100" s="20" t="n"/>
      <c r="F100" s="2" t="n"/>
      <c r="G100" s="28" t="n"/>
      <c r="H100" s="26">
        <f>SUM(G96:G99)</f>
        <v/>
      </c>
    </row>
    <row r="101" ht="15" customHeight="1" s="51">
      <c r="A101" s="2" t="n"/>
      <c r="B101" s="2" t="n"/>
      <c r="C101" s="2" t="n"/>
      <c r="D101" s="2" t="n"/>
      <c r="E101" s="19" t="n"/>
      <c r="F101" s="2" t="n"/>
      <c r="G101" s="28" t="n"/>
    </row>
    <row r="102" ht="15" customHeight="1" s="51">
      <c r="A102" s="15" t="inlineStr">
        <is>
          <t>REF.11</t>
        </is>
      </c>
      <c r="B102" s="15" t="inlineStr">
        <is>
          <t>Upgrade stosu technologicznego</t>
        </is>
      </c>
      <c r="C102" s="15" t="inlineStr">
        <is>
          <t>REF.11 - Migracja EJB 2 -&gt; EJB 3.x (lub wyjscie z EJB)</t>
        </is>
      </c>
      <c r="D102" s="15" t="inlineStr">
        <is>
          <t>Sekcja</t>
        </is>
      </c>
      <c r="E102" s="19" t="n"/>
      <c r="F102" s="2" t="n"/>
      <c r="G102" s="28" t="n"/>
    </row>
    <row r="103" ht="15" customHeight="1" s="51">
      <c r="A103" s="2" t="n"/>
      <c r="B103" s="2" t="n"/>
      <c r="C103" s="55" t="inlineStr">
        <is>
          <t>Aktualizacja modelu komponentowego. EJB 2 jest deprecated i blokuje upgrade serwera oraz nowszych standardow. Alternatywnie: ocena czy w danych modulach EJB jest jeszcze potrzebne, czy mozna przejsc na CDI / lekki kontener. Wymagania: inwentarz komponentow EJB 2 i zaleznosci miedzy modulami oraz uzgodnione kryteria wyboru migracja do EJB 3.x vs wyjscie do CDI. Forma: pilot konwersji na wybranym obszarze, pair programming review, rollout po walidacji wzorca.</t>
        </is>
      </c>
      <c r="D103" s="2" t="inlineStr">
        <is>
          <t>Opis</t>
        </is>
      </c>
      <c r="E103" s="19" t="n"/>
      <c r="F103" s="2" t="n"/>
      <c r="G103" s="28" t="n"/>
    </row>
    <row r="104" ht="15" customHeight="1" s="51">
      <c r="A104" s="2" t="n"/>
      <c r="B104" s="2" t="n"/>
      <c r="D104" s="2" t="inlineStr">
        <is>
          <t>Przekazanie narzedzi</t>
        </is>
      </c>
      <c r="E104" s="20" t="n"/>
      <c r="F104" s="2" t="inlineStr">
        <is>
          <t>narzedzia</t>
        </is>
      </c>
      <c r="G104" s="28" t="n">
        <v>1000</v>
      </c>
    </row>
    <row r="105" ht="15" customHeight="1" s="51">
      <c r="A105" s="2" t="n"/>
      <c r="B105" s="2" t="n"/>
      <c r="D105" s="2" t="inlineStr">
        <is>
          <t>Przekazanie knowhow</t>
        </is>
      </c>
      <c r="E105" s="20" t="n"/>
      <c r="F105" s="2" t="inlineStr">
        <is>
          <t>knowhow</t>
        </is>
      </c>
      <c r="G105" s="28" t="n">
        <v>0</v>
      </c>
    </row>
    <row r="106" ht="15" customHeight="1" s="51">
      <c r="A106" s="2" t="n"/>
      <c r="B106" s="2" t="n"/>
      <c r="D106" s="2" t="inlineStr">
        <is>
          <t>Migracja EJB 2 na obszarze pilotazowym</t>
        </is>
      </c>
      <c r="E106" s="21" t="n"/>
      <c r="F106" s="2" t="inlineStr">
        <is>
          <t>Refactor</t>
        </is>
      </c>
      <c r="G106" s="28" t="n">
        <v>5000</v>
      </c>
    </row>
    <row r="107" ht="15" customHeight="1" s="51">
      <c r="A107" s="2" t="n"/>
      <c r="B107" s="2" t="n"/>
      <c r="D107" s="2" t="inlineStr">
        <is>
          <t>Review prac po stronie</t>
        </is>
      </c>
      <c r="E107" s="20" t="n"/>
      <c r="F107" s="2" t="inlineStr">
        <is>
          <t>Refactor</t>
        </is>
      </c>
      <c r="G107" s="28" t="n">
        <v>0</v>
      </c>
    </row>
    <row r="108" ht="39" customHeight="1" s="51">
      <c r="A108" s="2" t="n"/>
      <c r="B108" s="2" t="n"/>
      <c r="D108" s="2" t="inlineStr">
        <is>
          <t>Suma REF.11</t>
        </is>
      </c>
      <c r="E108" s="20" t="n"/>
      <c r="F108" s="2" t="n"/>
      <c r="G108" s="28" t="n"/>
      <c r="H108" s="26">
        <f>SUM(G104:G107)</f>
        <v/>
      </c>
    </row>
    <row r="109" ht="15" customHeight="1" s="51">
      <c r="A109" s="2" t="n"/>
      <c r="B109" s="2" t="n"/>
      <c r="C109" s="2" t="n"/>
      <c r="D109" s="2" t="n"/>
      <c r="E109" s="19" t="n"/>
      <c r="F109" s="2" t="n"/>
      <c r="G109" s="28" t="n"/>
    </row>
    <row r="110" ht="15" customHeight="1" s="51">
      <c r="A110" s="15" t="inlineStr">
        <is>
          <t>REF.12</t>
        </is>
      </c>
      <c r="B110" s="15" t="inlineStr">
        <is>
          <t>CI/CD - kontynuacja</t>
        </is>
      </c>
      <c r="C110" s="15" t="inlineStr">
        <is>
          <t>REF.12 - Unifikacja i upgrade Jenkinsa (jedna wersja LTS dla wszystkich pipelineow)</t>
        </is>
      </c>
      <c r="D110" s="15" t="inlineStr">
        <is>
          <t>Sekcja</t>
        </is>
      </c>
      <c r="E110" s="19" t="n"/>
      <c r="F110" s="2" t="n"/>
      <c r="G110" s="28" t="n"/>
    </row>
    <row r="111" ht="15" customHeight="1" s="51">
      <c r="A111" s="2" t="n"/>
      <c r="B111" s="2" t="n"/>
      <c r="C111" s="55" t="inlineStr">
        <is>
          <t>Obecnie monolit korzysta ze starszego Jenkinsa, a nowsze serwisy dzialaja na nowszym. Ujednolicenie wersji + aktualizacja plugins do LTS, zeby standardowy Jenkinsfile (REF.1) faktycznie dzialal wszedzie tak samo, a agenty AI mialy jeden interfejs. Wymagania: inwentarz instancji Jenkins i pluginow, plan kompatybilnosci pluginow i backup konfiguracji. Forma: etapowa unifikacja do jednej wersji LTS oraz walidacja pipelineow po migracji kazdej instancji.</t>
        </is>
      </c>
      <c r="D111" s="2" t="inlineStr">
        <is>
          <t>Opis</t>
        </is>
      </c>
      <c r="E111" s="19" t="n"/>
      <c r="F111" s="2" t="n"/>
      <c r="G111" s="28" t="n"/>
    </row>
    <row r="112" ht="15" customHeight="1" s="51">
      <c r="A112" s="2" t="n"/>
      <c r="B112" s="2" t="n"/>
      <c r="D112" s="2" t="inlineStr">
        <is>
          <t>Przekazanie narzedzi</t>
        </is>
      </c>
      <c r="E112" s="20" t="n"/>
      <c r="F112" s="2" t="inlineStr">
        <is>
          <t>narzedzia</t>
        </is>
      </c>
      <c r="G112" s="28" t="n">
        <v>0</v>
      </c>
    </row>
    <row r="113" ht="15" customHeight="1" s="51">
      <c r="A113" s="2" t="n"/>
      <c r="B113" s="2" t="n"/>
      <c r="D113" s="2" t="inlineStr">
        <is>
          <t>Przekazanie knowhow</t>
        </is>
      </c>
      <c r="E113" s="20" t="n"/>
      <c r="F113" s="2" t="inlineStr">
        <is>
          <t>knowhow</t>
        </is>
      </c>
      <c r="G113" s="28" t="n">
        <v>0</v>
      </c>
    </row>
    <row r="114" ht="15" customHeight="1" s="51">
      <c r="A114" s="2" t="n"/>
      <c r="B114" s="2" t="n"/>
      <c r="D114" s="2" t="inlineStr">
        <is>
          <t>Unifikacja Jenkinsa do jednej wersji LTS</t>
        </is>
      </c>
      <c r="E114" s="21" t="n"/>
      <c r="F114" s="2" t="inlineStr">
        <is>
          <t>Refactor</t>
        </is>
      </c>
      <c r="G114" s="28" t="n">
        <v>1500</v>
      </c>
    </row>
    <row r="115" ht="15" customHeight="1" s="51">
      <c r="A115" s="2" t="n"/>
      <c r="B115" s="2" t="n"/>
      <c r="D115" s="2" t="inlineStr">
        <is>
          <t>Review prac po stronie</t>
        </is>
      </c>
      <c r="E115" s="21" t="n"/>
      <c r="F115" s="2" t="inlineStr">
        <is>
          <t>Refactor</t>
        </is>
      </c>
      <c r="G115" s="28" t="n">
        <v>500</v>
      </c>
    </row>
    <row r="116" ht="15" customHeight="1" s="51">
      <c r="A116" s="2" t="n"/>
      <c r="B116" s="2" t="n"/>
      <c r="D116" s="2" t="inlineStr">
        <is>
          <t>Suma REF.12</t>
        </is>
      </c>
      <c r="E116" s="20" t="n"/>
      <c r="F116" s="2" t="n"/>
      <c r="G116" s="28" t="n"/>
      <c r="H116" s="26">
        <f>SUM(G112:G115)</f>
        <v/>
      </c>
    </row>
    <row r="117" ht="15" customHeight="1" s="51">
      <c r="A117" s="2" t="n"/>
      <c r="B117" s="2" t="n"/>
      <c r="C117" s="2" t="n"/>
      <c r="D117" s="2" t="n"/>
      <c r="E117" s="19" t="n"/>
      <c r="F117" s="2" t="n"/>
      <c r="G117" s="28" t="n"/>
    </row>
    <row r="118" ht="15" customHeight="1" s="51">
      <c r="A118" s="15" t="inlineStr">
        <is>
          <t>REF.13</t>
        </is>
      </c>
      <c r="B118" s="15" t="inlineStr">
        <is>
          <t>CI/CD - kontynuacja</t>
        </is>
      </c>
      <c r="C118" s="15" t="inlineStr">
        <is>
          <t>REF.13 - Optymalizacja czasu buildu (cel: skrocenie z pojedynczych h)</t>
        </is>
      </c>
      <c r="D118" s="15" t="inlineStr">
        <is>
          <t>Sekcja</t>
        </is>
      </c>
      <c r="E118" s="19" t="n"/>
      <c r="F118" s="2" t="n"/>
      <c r="G118" s="28" t="n"/>
    </row>
    <row r="119" ht="15" customHeight="1" s="51">
      <c r="A119" s="2" t="n"/>
      <c r="B119" s="2" t="n"/>
      <c r="C119" s="55" t="inlineStr">
        <is>
          <t>Biezacy build na QA potrafi trwac pojedyncze godziny, co blokuje feedback loop i sensowny gating w pipeline. Dzialania: analiza waskich gardel, parallelizacja modulow, incremental build, cache zaleznosci, wydzielenie wolnych testow do osobnego stagea. Wymagania: metryki czasu build/test dla stanu obecnego oraz dostep do konfiguracji CI i danych o waskich gardlach. Forma: profiling pipeline i plan optymalizacji, wdrozenie usprawnien etapami i pomiar efektu po kazdej zmianie.</t>
        </is>
      </c>
      <c r="D119" s="2" t="inlineStr">
        <is>
          <t>Opis</t>
        </is>
      </c>
      <c r="E119" s="19" t="n"/>
      <c r="F119" s="2" t="n"/>
      <c r="G119" s="28" t="n"/>
    </row>
    <row r="120" ht="15" customHeight="1" s="51">
      <c r="A120" s="2" t="n"/>
      <c r="B120" s="2" t="n"/>
      <c r="D120" s="2" t="inlineStr">
        <is>
          <t>Przekazanie narzedzi</t>
        </is>
      </c>
      <c r="E120" s="20" t="n"/>
      <c r="F120" s="2" t="inlineStr">
        <is>
          <t>narzedzia</t>
        </is>
      </c>
      <c r="G120" s="28" t="n">
        <v>0</v>
      </c>
    </row>
    <row r="121" ht="15" customHeight="1" s="51">
      <c r="A121" s="2" t="n"/>
      <c r="B121" s="2" t="n"/>
      <c r="D121" s="2" t="inlineStr">
        <is>
          <t>Przekazanie knowhow</t>
        </is>
      </c>
      <c r="E121" s="20" t="n"/>
      <c r="F121" s="2" t="inlineStr">
        <is>
          <t>knowhow</t>
        </is>
      </c>
      <c r="G121" s="28" t="n">
        <v>0</v>
      </c>
    </row>
    <row r="122" ht="15" customHeight="1" s="51">
      <c r="A122" s="2" t="n"/>
      <c r="B122" s="2" t="n"/>
      <c r="D122" s="2" t="inlineStr">
        <is>
          <t>Profiling i optymalizacja czasu buildu</t>
        </is>
      </c>
      <c r="E122" s="21" t="n"/>
      <c r="F122" s="2" t="inlineStr">
        <is>
          <t>Refactor</t>
        </is>
      </c>
      <c r="G122" s="28" t="n">
        <v>5000</v>
      </c>
    </row>
    <row r="123" ht="15" customHeight="1" s="51">
      <c r="A123" s="2" t="n"/>
      <c r="B123" s="2" t="n"/>
      <c r="D123" s="2" t="inlineStr">
        <is>
          <t>Review prac po stronie</t>
        </is>
      </c>
      <c r="E123" s="20" t="n"/>
      <c r="F123" s="2" t="inlineStr">
        <is>
          <t>Refactor</t>
        </is>
      </c>
      <c r="G123" s="28" t="n">
        <v>0</v>
      </c>
    </row>
    <row r="124" ht="31" customHeight="1" s="51">
      <c r="A124" s="2" t="n"/>
      <c r="B124" s="2" t="n"/>
      <c r="D124" s="2" t="inlineStr">
        <is>
          <t>Suma REF.13</t>
        </is>
      </c>
      <c r="E124" s="20" t="n"/>
      <c r="F124" s="2" t="n"/>
      <c r="G124" s="28" t="n"/>
      <c r="H124" s="26">
        <f>SUM(G120:G123)</f>
        <v/>
      </c>
    </row>
    <row r="125" ht="15" customHeight="1" s="51">
      <c r="A125" s="2" t="n"/>
      <c r="B125" s="2" t="n"/>
      <c r="C125" s="2" t="n"/>
      <c r="D125" s="2" t="n"/>
      <c r="E125" s="19" t="n"/>
      <c r="F125" s="2" t="n"/>
      <c r="G125" s="28" t="n"/>
    </row>
    <row r="126" ht="15" customHeight="1" s="51">
      <c r="A126" s="15" t="inlineStr">
        <is>
          <t>REF.14</t>
        </is>
      </c>
      <c r="B126" s="15" t="inlineStr">
        <is>
          <t>Security - kontynuacja</t>
        </is>
      </c>
      <c r="C126" s="15" t="inlineStr">
        <is>
          <t>REF.14 - Skany bezpieczenstwa dla aplikacji mobilnej (iOS)</t>
        </is>
      </c>
      <c r="D126" s="15" t="inlineStr">
        <is>
          <t>Sekcja</t>
        </is>
      </c>
      <c r="E126" s="19" t="n"/>
      <c r="F126" s="2" t="n"/>
      <c r="G126" s="28" t="n"/>
    </row>
    <row r="127" ht="15" customHeight="1" s="51">
      <c r="A127" s="2" t="n"/>
      <c r="B127" s="2" t="n"/>
      <c r="C127" s="52" t="inlineStr">
        <is>
          <t>Rozszerzenie REF.6 o mobilny SAST/dependency scanning na pipeline iOS (REF.5). Dedykowany Mac worker wykonuje skany w ramach buildu, wyniki trafiaja do tego samego repo raportow co pozostale podatnosci. Wymagania: dzialajacy pipeline iOS oraz narzedzia skanujace wspierajace iOS, uzgodnione progi gatingu i wlasciciele napraw podatnosci mobilnych. Forma: pilot skanow na aplikacji iOS oraz wlaczenie do wspolnego procesu raportowania i gatingu.</t>
        </is>
      </c>
      <c r="D127" s="2" t="inlineStr">
        <is>
          <t>Opis</t>
        </is>
      </c>
      <c r="E127" s="19" t="n"/>
      <c r="F127" s="2" t="n"/>
      <c r="G127" s="28" t="n"/>
    </row>
    <row r="128" ht="15" customHeight="1" s="51">
      <c r="A128" s="2" t="n"/>
      <c r="B128" s="2" t="n"/>
      <c r="D128" s="2" t="inlineStr">
        <is>
          <t>Przekazanie narzedzi</t>
        </is>
      </c>
      <c r="E128" s="20" t="n"/>
      <c r="F128" s="2" t="inlineStr">
        <is>
          <t>narzedzia</t>
        </is>
      </c>
      <c r="G128" s="28" t="n">
        <v>0</v>
      </c>
    </row>
    <row r="129" ht="15" customHeight="1" s="51">
      <c r="A129" s="2" t="n"/>
      <c r="B129" s="2" t="n"/>
      <c r="D129" s="2" t="inlineStr">
        <is>
          <t>Przekazanie knowhow</t>
        </is>
      </c>
      <c r="E129" s="20" t="n"/>
      <c r="F129" s="2" t="inlineStr">
        <is>
          <t>knowhow</t>
        </is>
      </c>
      <c r="G129" s="49" t="inlineStr">
        <is>
          <t xml:space="preserve"> PLN   2,000.00</t>
        </is>
      </c>
    </row>
    <row r="130" ht="15" customHeight="1" s="51">
      <c r="A130" s="2" t="n"/>
      <c r="B130" s="2" t="n"/>
      <c r="D130" s="2" t="inlineStr">
        <is>
          <t>Wlaczenie skanow bezpieczenstwa dla pipeline iOS</t>
        </is>
      </c>
      <c r="E130" s="20" t="n"/>
      <c r="F130" s="2" t="inlineStr">
        <is>
          <t>Refactor</t>
        </is>
      </c>
      <c r="G130" s="28" t="n">
        <v>5000</v>
      </c>
    </row>
    <row r="131" ht="15" customHeight="1" s="51">
      <c r="A131" s="2" t="n"/>
      <c r="B131" s="2" t="n"/>
      <c r="D131" s="2" t="inlineStr">
        <is>
          <t>Review prac po stronie</t>
        </is>
      </c>
      <c r="E131" s="20" t="n"/>
      <c r="F131" s="2" t="inlineStr">
        <is>
          <t>Refactor</t>
        </is>
      </c>
      <c r="G131" s="28" t="n">
        <v>0</v>
      </c>
    </row>
    <row r="132" ht="38" customHeight="1" s="51">
      <c r="A132" s="2" t="n"/>
      <c r="B132" s="2" t="n"/>
      <c r="D132" s="2" t="inlineStr">
        <is>
          <t>Suma REF.14</t>
        </is>
      </c>
      <c r="E132" s="20" t="n"/>
      <c r="F132" s="2" t="n"/>
      <c r="G132" s="28" t="n"/>
      <c r="H132" s="26">
        <f>SUM(G128:G131)</f>
        <v/>
      </c>
    </row>
    <row r="133" ht="15" customHeight="1" s="51">
      <c r="A133" s="2" t="n"/>
      <c r="B133" s="2" t="n"/>
      <c r="C133" s="2" t="n"/>
      <c r="D133" s="2" t="n"/>
      <c r="E133" s="19" t="n"/>
      <c r="F133" s="2" t="n"/>
      <c r="G133" s="28" t="n"/>
    </row>
    <row r="134" ht="15" customHeight="1" s="51">
      <c r="A134" s="15" t="inlineStr">
        <is>
          <t>REF.15</t>
        </is>
      </c>
      <c r="B134" s="15" t="inlineStr">
        <is>
          <t>Deploy - uzupelnienie</t>
        </is>
      </c>
      <c r="C134" s="15" t="inlineStr">
        <is>
          <t>REF.15 - Uporzadkowanie deployu na srodowiska dev (skrypty bash + scp -&gt; standardowy pipeline)</t>
        </is>
      </c>
      <c r="D134" s="15" t="inlineStr">
        <is>
          <t>Sekcja</t>
        </is>
      </c>
      <c r="E134" s="19" t="n"/>
      <c r="F134" s="2" t="n"/>
      <c r="G134" s="28" t="n"/>
    </row>
    <row r="135" ht="15" customHeight="1" s="51">
      <c r="A135" s="2" t="n"/>
      <c r="B135" s="2" t="n"/>
      <c r="C135" s="55" t="inlineStr">
        <is>
          <t>Obecny deploy na dev dziala przez bash + scp + reczne restarty serwerow. Doprowadzenie tego do tego samego standardu co REF.3 (deploy QA): self-service z Jenkinsfile, parametryzowane srodowisko docelowe, jeden mechanizm dla dev/QA/prod. Wymagania: inwentarz aktualnych skryptow deploy i restartow uslug, dostep do srodowisk dev i uzgodnione parametryzowanie deployu. Forma: migracja dev deploy do standardowego Jenkinsfile i ujednolicenie mechanizmu dev/QA/prod po walidacji.</t>
        </is>
      </c>
      <c r="D135" s="2" t="inlineStr">
        <is>
          <t>Opis</t>
        </is>
      </c>
      <c r="E135" s="19" t="n"/>
      <c r="F135" s="2" t="n"/>
      <c r="G135" s="28" t="n"/>
    </row>
    <row r="136" ht="15" customHeight="1" s="51">
      <c r="A136" s="2" t="n"/>
      <c r="B136" s="2" t="n"/>
      <c r="D136" s="2" t="inlineStr">
        <is>
          <t>Przekazanie narzedzi</t>
        </is>
      </c>
      <c r="E136" s="20" t="n"/>
      <c r="F136" s="2" t="inlineStr">
        <is>
          <t>narzedzia</t>
        </is>
      </c>
      <c r="G136" s="28" t="n">
        <v>0</v>
      </c>
    </row>
    <row r="137" ht="15" customHeight="1" s="51">
      <c r="A137" s="2" t="n"/>
      <c r="B137" s="2" t="n"/>
      <c r="D137" s="2" t="inlineStr">
        <is>
          <t>Przekazanie knowhow</t>
        </is>
      </c>
      <c r="E137" s="20" t="n"/>
      <c r="F137" s="2" t="inlineStr">
        <is>
          <t>knowhow</t>
        </is>
      </c>
      <c r="G137" s="28" t="n">
        <v>0</v>
      </c>
    </row>
    <row r="138" ht="15" customHeight="1" s="51">
      <c r="A138" s="2" t="n"/>
      <c r="B138" s="2" t="n"/>
      <c r="D138" s="2" t="inlineStr">
        <is>
          <t>Migracja dev deploy do standardowego pipeline</t>
        </is>
      </c>
      <c r="E138" s="21" t="n"/>
      <c r="F138" s="2" t="inlineStr">
        <is>
          <t>Refactor</t>
        </is>
      </c>
      <c r="G138" s="28" t="n">
        <v>4000</v>
      </c>
    </row>
    <row r="139" ht="15" customHeight="1" s="51">
      <c r="A139" s="2" t="n"/>
      <c r="B139" s="2" t="n"/>
      <c r="D139" s="2" t="inlineStr">
        <is>
          <t>Review prac po stronie</t>
        </is>
      </c>
      <c r="E139" s="20" t="n"/>
      <c r="F139" s="2" t="inlineStr">
        <is>
          <t>Refactor</t>
        </is>
      </c>
      <c r="G139" s="28" t="n">
        <v>0</v>
      </c>
    </row>
    <row r="140" ht="45" customHeight="1" s="51">
      <c r="A140" s="2" t="n"/>
      <c r="B140" s="2" t="n"/>
      <c r="D140" s="2" t="inlineStr">
        <is>
          <t>Suma REF.15</t>
        </is>
      </c>
      <c r="E140" s="20" t="n"/>
      <c r="F140" s="2" t="n"/>
      <c r="G140" s="28" t="n"/>
      <c r="H140" s="26">
        <f>SUM(G136:G139)</f>
        <v/>
      </c>
    </row>
    <row r="141" ht="15" customHeight="1" s="51">
      <c r="A141" s="2" t="n"/>
      <c r="B141" s="2" t="n"/>
      <c r="C141" s="2" t="n"/>
      <c r="D141" s="2" t="n"/>
      <c r="E141" s="19" t="n"/>
      <c r="F141" s="2" t="n"/>
      <c r="G141" s="28" t="n"/>
    </row>
    <row r="142" ht="19" customHeight="1" s="51">
      <c r="A142" s="1" t="inlineStr">
        <is>
          <t>PODSUMOWANIE</t>
        </is>
      </c>
      <c r="B142" s="2" t="n"/>
      <c r="C142" s="2" t="n"/>
      <c r="D142" s="2" t="n"/>
      <c r="E142" s="19" t="n"/>
      <c r="F142" s="2" t="n"/>
      <c r="G142" s="28" t="n"/>
    </row>
    <row r="143" ht="15" customHeight="1" s="51">
      <c r="A143" s="2" t="n"/>
      <c r="B143" s="2" t="n"/>
      <c r="C143" s="2" t="n"/>
      <c r="E143" s="20" t="n"/>
      <c r="F143" s="15" t="inlineStr">
        <is>
          <t>Suma wszystkiego</t>
        </is>
      </c>
      <c r="G143" s="28" t="n"/>
      <c r="H143" s="26">
        <f>SUM(H5:H142)</f>
        <v/>
      </c>
    </row>
    <row r="144" ht="15" customHeight="1" s="51">
      <c r="A144" s="2" t="n"/>
      <c r="B144" s="2" t="n"/>
      <c r="C144" s="2" t="n"/>
      <c r="E144" s="20" t="n"/>
      <c r="F144" s="2" t="inlineStr">
        <is>
          <t>Przekazanie narzedzi (suma)</t>
        </is>
      </c>
      <c r="G144" s="28" t="n"/>
      <c r="H144" s="26">
        <f>SUMIFS(G5:G142,F5:F142,"narzedzia")</f>
        <v/>
      </c>
    </row>
    <row r="145" ht="15" customHeight="1" s="51">
      <c r="A145" s="2" t="n"/>
      <c r="B145" s="2" t="n"/>
      <c r="C145" s="2" t="n"/>
      <c r="E145" s="20" t="n"/>
      <c r="F145" s="2" t="inlineStr">
        <is>
          <t>Przekazanie knowhow (suma)</t>
        </is>
      </c>
      <c r="G145" s="28" t="n"/>
      <c r="H145" s="26">
        <f>SUMIFS(G5:G142,F5:F142,"knowhow")</f>
        <v/>
      </c>
    </row>
    <row r="146" ht="15" customHeight="1" s="51">
      <c r="A146" s="2" t="n"/>
      <c r="B146" s="2" t="n"/>
      <c r="C146" s="2" t="n"/>
      <c r="E146" s="20" t="n"/>
      <c r="F146" s="2" t="inlineStr">
        <is>
          <t>Refactor (suma)</t>
        </is>
      </c>
      <c r="G146" s="28" t="n"/>
      <c r="H146" s="26">
        <f>SUMIFS(G5:G142,F5:F142,"Refactor")</f>
        <v/>
      </c>
    </row>
    <row r="147" ht="15" customHeight="1" s="51">
      <c r="A147" s="3" t="n"/>
      <c r="B147" s="3" t="n"/>
      <c r="C147" s="53" t="n"/>
      <c r="D147" s="3" t="n"/>
      <c r="E147" s="22" t="n"/>
      <c r="F147" s="3" t="n"/>
    </row>
    <row r="148" ht="15" customHeight="1" s="51">
      <c r="A148" s="3" t="n"/>
      <c r="B148" s="3" t="n"/>
      <c r="C148" s="53" t="n"/>
      <c r="D148" s="3" t="n"/>
      <c r="E148" s="22" t="n"/>
      <c r="F148" s="3" t="n"/>
    </row>
    <row r="149" ht="15" customHeight="1" s="51">
      <c r="A149" s="3" t="n"/>
      <c r="B149" s="3" t="n"/>
      <c r="C149" s="11" t="n"/>
      <c r="D149" s="3" t="n"/>
      <c r="E149" s="23" t="n"/>
      <c r="F149" s="3" t="n"/>
    </row>
    <row r="150" ht="15" customHeight="1" s="51">
      <c r="A150" s="3" t="n"/>
      <c r="B150" s="3" t="n"/>
      <c r="C150" s="11" t="n"/>
      <c r="D150" s="3" t="n"/>
      <c r="E150" s="23" t="n"/>
      <c r="F150" s="3" t="n"/>
    </row>
    <row r="151" ht="15" customHeight="1" s="51">
      <c r="A151" s="3" t="n"/>
      <c r="B151" s="3" t="n"/>
      <c r="C151" s="11" t="n"/>
      <c r="D151" s="7" t="n"/>
      <c r="E151" s="24" t="n"/>
      <c r="F151" s="3" t="n"/>
    </row>
    <row r="152" ht="15" customHeight="1" s="51">
      <c r="A152" s="3" t="n"/>
      <c r="B152" s="3" t="n"/>
      <c r="C152" s="11" t="n"/>
      <c r="D152" s="3" t="n"/>
      <c r="E152" s="22" t="n"/>
      <c r="F152" s="3" t="n"/>
    </row>
    <row r="153" ht="15" customHeight="1" s="51">
      <c r="A153" s="3" t="n"/>
      <c r="B153" s="3" t="n"/>
      <c r="C153" s="11" t="n"/>
      <c r="D153" s="3" t="n"/>
      <c r="E153" s="22" t="n"/>
      <c r="F153" s="3" t="n"/>
    </row>
    <row r="154" ht="15" customHeight="1" s="51">
      <c r="A154" s="3" t="n"/>
      <c r="B154" s="3" t="n"/>
      <c r="C154" s="11" t="n"/>
      <c r="D154" s="3" t="n"/>
      <c r="E154" s="22" t="n"/>
      <c r="F154" s="3" t="n"/>
    </row>
    <row r="155" ht="13" customHeight="1" s="51">
      <c r="E155" s="16" t="n"/>
    </row>
    <row r="156" ht="13" customHeight="1" s="51">
      <c r="E156" s="16" t="n"/>
    </row>
    <row r="157" ht="13" customHeight="1" s="51">
      <c r="E157" s="16" t="n"/>
    </row>
    <row r="158" ht="13" customHeight="1" s="51">
      <c r="E158" s="16" t="n"/>
    </row>
    <row r="159" ht="13" customHeight="1" s="51">
      <c r="E159" s="16" t="n"/>
    </row>
    <row r="160" ht="13" customHeight="1" s="51">
      <c r="E160" s="16" t="n"/>
    </row>
    <row r="161" ht="13" customHeight="1" s="51">
      <c r="E161" s="16" t="n"/>
    </row>
    <row r="162" ht="13" customHeight="1" s="51">
      <c r="E162" s="16" t="n"/>
    </row>
    <row r="163" ht="13" customHeight="1" s="51">
      <c r="E163" s="16" t="n"/>
    </row>
    <row r="164" ht="13" customHeight="1" s="51">
      <c r="E164" s="16" t="n"/>
    </row>
    <row r="165" ht="13" customHeight="1" s="51">
      <c r="E165" s="16" t="n"/>
    </row>
    <row r="166" ht="13" customHeight="1" s="51">
      <c r="E166" s="16" t="n"/>
    </row>
    <row r="167" ht="13" customHeight="1" s="51">
      <c r="E167" s="16" t="n"/>
    </row>
    <row r="168" ht="13" customHeight="1" s="51">
      <c r="E168" s="16" t="n"/>
    </row>
    <row r="169" ht="13" customHeight="1" s="51">
      <c r="E169" s="16" t="n"/>
    </row>
    <row r="170" ht="13" customHeight="1" s="51">
      <c r="E170" s="16" t="n"/>
    </row>
    <row r="171" ht="13" customHeight="1" s="51">
      <c r="E171" s="16" t="n"/>
    </row>
    <row r="172" ht="13" customHeight="1" s="51">
      <c r="E172" s="16" t="n"/>
    </row>
    <row r="173" ht="13" customHeight="1" s="51">
      <c r="E173" s="16" t="n"/>
    </row>
    <row r="174" ht="13" customHeight="1" s="51">
      <c r="E174" s="16" t="n"/>
    </row>
    <row r="175" ht="13" customHeight="1" s="51">
      <c r="E175" s="16" t="n"/>
    </row>
    <row r="176" ht="13" customHeight="1" s="51">
      <c r="E176" s="16" t="n"/>
    </row>
    <row r="177" ht="13" customHeight="1" s="51">
      <c r="E177" s="16" t="n"/>
    </row>
    <row r="178" ht="13" customHeight="1" s="51">
      <c r="E178" s="16" t="n"/>
    </row>
    <row r="179" ht="13" customHeight="1" s="51">
      <c r="E179" s="16" t="n"/>
    </row>
    <row r="180" ht="13" customHeight="1" s="51">
      <c r="E180" s="16" t="n"/>
    </row>
    <row r="181" ht="13" customHeight="1" s="51">
      <c r="E181" s="16" t="n"/>
    </row>
    <row r="182" ht="13" customHeight="1" s="51">
      <c r="E182" s="16" t="n"/>
    </row>
    <row r="183" ht="13" customHeight="1" s="51">
      <c r="E183" s="16" t="n"/>
    </row>
    <row r="184" ht="13" customHeight="1" s="51">
      <c r="E184" s="16" t="n"/>
    </row>
    <row r="185" ht="13" customHeight="1" s="51">
      <c r="E185" s="16" t="n"/>
    </row>
    <row r="186" ht="13" customHeight="1" s="51">
      <c r="E186" s="16" t="n"/>
    </row>
    <row r="187" ht="13" customHeight="1" s="51">
      <c r="E187" s="16" t="n"/>
    </row>
    <row r="188" ht="13" customHeight="1" s="51">
      <c r="E188" s="16" t="n"/>
    </row>
    <row r="189" ht="13" customHeight="1" s="51">
      <c r="E189" s="16" t="n"/>
    </row>
    <row r="190" ht="13" customHeight="1" s="51">
      <c r="E190" s="16" t="n"/>
    </row>
    <row r="191" ht="13" customHeight="1" s="51">
      <c r="E191" s="16" t="n"/>
    </row>
    <row r="192" ht="13" customHeight="1" s="51">
      <c r="E192" s="16" t="n"/>
    </row>
    <row r="193" ht="13" customHeight="1" s="51">
      <c r="E193" s="16" t="n"/>
    </row>
    <row r="194" ht="13" customHeight="1" s="51">
      <c r="E194" s="16" t="n"/>
    </row>
    <row r="195" ht="13" customHeight="1" s="51">
      <c r="E195" s="16" t="n"/>
    </row>
    <row r="196" ht="13" customHeight="1" s="51">
      <c r="E196" s="16" t="n"/>
    </row>
    <row r="197" ht="13" customHeight="1" s="51">
      <c r="E197" s="16" t="n"/>
    </row>
    <row r="198" ht="13" customHeight="1" s="51">
      <c r="E198" s="16" t="n"/>
    </row>
    <row r="199" ht="13" customHeight="1" s="51">
      <c r="E199" s="16" t="n"/>
    </row>
    <row r="200" ht="13" customHeight="1" s="51">
      <c r="E200" s="16" t="n"/>
    </row>
    <row r="201" ht="13" customHeight="1" s="51">
      <c r="E201" s="16" t="n"/>
    </row>
    <row r="202" ht="13" customHeight="1" s="51">
      <c r="E202" s="16" t="n"/>
    </row>
    <row r="203" ht="13" customHeight="1" s="51">
      <c r="E203" s="16" t="n"/>
    </row>
    <row r="204" ht="13" customHeight="1" s="51">
      <c r="E204" s="16" t="n"/>
    </row>
    <row r="205" ht="13" customHeight="1" s="51">
      <c r="E205" s="16" t="n"/>
    </row>
    <row r="206" ht="13" customHeight="1" s="51">
      <c r="E206" s="16" t="n"/>
    </row>
    <row r="207" ht="13" customHeight="1" s="51">
      <c r="E207" s="16" t="n"/>
    </row>
    <row r="208" ht="13" customHeight="1" s="51">
      <c r="E208" s="16" t="n"/>
    </row>
    <row r="209" ht="13" customHeight="1" s="51">
      <c r="E209" s="16" t="n"/>
    </row>
    <row r="210" ht="13" customHeight="1" s="51">
      <c r="E210" s="16" t="n"/>
    </row>
    <row r="211" ht="13" customHeight="1" s="51">
      <c r="E211" s="16" t="n"/>
    </row>
    <row r="212" ht="13" customHeight="1" s="51">
      <c r="E212" s="16" t="n"/>
    </row>
    <row r="213" ht="13" customHeight="1" s="51">
      <c r="E213" s="16" t="n"/>
    </row>
    <row r="214" ht="13" customHeight="1" s="51">
      <c r="E214" s="16" t="n"/>
    </row>
    <row r="215" ht="13" customHeight="1" s="51">
      <c r="E215" s="16" t="n"/>
    </row>
    <row r="216" ht="13" customHeight="1" s="51">
      <c r="E216" s="16" t="n"/>
    </row>
    <row r="217" ht="13" customHeight="1" s="51">
      <c r="E217" s="16" t="n"/>
    </row>
    <row r="218" ht="13" customHeight="1" s="51">
      <c r="E218" s="16" t="n"/>
    </row>
    <row r="219" ht="13" customHeight="1" s="51">
      <c r="E219" s="16" t="n"/>
    </row>
    <row r="220" ht="13" customHeight="1" s="51">
      <c r="E220" s="16" t="n"/>
    </row>
    <row r="221" ht="13" customHeight="1" s="51">
      <c r="E221" s="16" t="n"/>
    </row>
    <row r="222" ht="13" customHeight="1" s="51">
      <c r="E222" s="16" t="n"/>
    </row>
    <row r="223" ht="13" customHeight="1" s="51">
      <c r="E223" s="16" t="n"/>
    </row>
    <row r="224" ht="13" customHeight="1" s="51">
      <c r="E224" s="16" t="n"/>
    </row>
    <row r="225" ht="13" customHeight="1" s="51">
      <c r="E225" s="16" t="n"/>
    </row>
    <row r="226" ht="13" customHeight="1" s="51">
      <c r="E226" s="16" t="n"/>
    </row>
    <row r="227" ht="13" customHeight="1" s="51">
      <c r="E227" s="16" t="n"/>
    </row>
    <row r="228" ht="13" customHeight="1" s="51">
      <c r="E228" s="16" t="n"/>
    </row>
    <row r="229" ht="13" customHeight="1" s="51">
      <c r="E229" s="16" t="n"/>
    </row>
    <row r="230" ht="13" customHeight="1" s="51">
      <c r="E230" s="16" t="n"/>
    </row>
    <row r="231" ht="13" customHeight="1" s="51">
      <c r="E231" s="16" t="n"/>
    </row>
    <row r="232" ht="13" customHeight="1" s="51">
      <c r="E232" s="16" t="n"/>
    </row>
    <row r="233" ht="13" customHeight="1" s="51">
      <c r="E233" s="16" t="n"/>
    </row>
    <row r="234" ht="13" customHeight="1" s="51">
      <c r="E234" s="16" t="n"/>
    </row>
    <row r="235" ht="13" customHeight="1" s="51">
      <c r="E235" s="16" t="n"/>
    </row>
    <row r="236" ht="13" customHeight="1" s="51">
      <c r="E236" s="16" t="n"/>
    </row>
    <row r="237" ht="13" customHeight="1" s="51">
      <c r="E237" s="16" t="n"/>
    </row>
    <row r="238" ht="13" customHeight="1" s="51">
      <c r="E238" s="16" t="n"/>
    </row>
    <row r="239" ht="13" customHeight="1" s="51">
      <c r="E239" s="16" t="n"/>
    </row>
    <row r="240" ht="13" customHeight="1" s="51">
      <c r="E240" s="16" t="n"/>
    </row>
    <row r="241" ht="13" customHeight="1" s="51">
      <c r="E241" s="16" t="n"/>
    </row>
    <row r="242" ht="13" customHeight="1" s="51">
      <c r="E242" s="16" t="n"/>
    </row>
    <row r="243" ht="13" customHeight="1" s="51">
      <c r="E243" s="16" t="n"/>
    </row>
    <row r="244" ht="13" customHeight="1" s="51">
      <c r="E244" s="16" t="n"/>
    </row>
    <row r="245" ht="13" customHeight="1" s="51">
      <c r="E245" s="16" t="n"/>
    </row>
    <row r="246" ht="13" customHeight="1" s="51">
      <c r="E246" s="16" t="n"/>
    </row>
    <row r="247" ht="13" customHeight="1" s="51">
      <c r="E247" s="16" t="n"/>
    </row>
    <row r="248" ht="13" customHeight="1" s="51">
      <c r="E248" s="16" t="n"/>
    </row>
    <row r="249" ht="13" customHeight="1" s="51">
      <c r="E249" s="16" t="n"/>
    </row>
    <row r="250" ht="13" customHeight="1" s="51">
      <c r="E250" s="16" t="n"/>
    </row>
    <row r="251" ht="13" customHeight="1" s="51">
      <c r="E251" s="16" t="n"/>
    </row>
    <row r="252" ht="13" customHeight="1" s="51">
      <c r="E252" s="16" t="n"/>
    </row>
    <row r="253" ht="13" customHeight="1" s="51">
      <c r="E253" s="16" t="n"/>
    </row>
    <row r="254" ht="13" customHeight="1" s="51">
      <c r="E254" s="16" t="n"/>
    </row>
    <row r="255" ht="13" customHeight="1" s="51">
      <c r="E255" s="16" t="n"/>
    </row>
    <row r="256" ht="13" customHeight="1" s="51">
      <c r="E256" s="16" t="n"/>
    </row>
    <row r="257" ht="13" customHeight="1" s="51">
      <c r="E257" s="16" t="n"/>
    </row>
    <row r="258" ht="13" customHeight="1" s="51">
      <c r="E258" s="16" t="n"/>
    </row>
    <row r="259" ht="13" customHeight="1" s="51">
      <c r="E259" s="16" t="n"/>
    </row>
    <row r="260" ht="13" customHeight="1" s="51">
      <c r="E260" s="16" t="n"/>
    </row>
    <row r="261" ht="13" customHeight="1" s="51">
      <c r="E261" s="16" t="n"/>
    </row>
    <row r="262" ht="13" customHeight="1" s="51">
      <c r="E262" s="16" t="n"/>
    </row>
    <row r="263" ht="13" customHeight="1" s="51">
      <c r="E263" s="16" t="n"/>
    </row>
    <row r="264" ht="13" customHeight="1" s="51">
      <c r="E264" s="16" t="n"/>
    </row>
    <row r="265" ht="13" customHeight="1" s="51">
      <c r="E265" s="16" t="n"/>
    </row>
    <row r="266" ht="13" customHeight="1" s="51">
      <c r="E266" s="16" t="n"/>
    </row>
    <row r="267" ht="13" customHeight="1" s="51">
      <c r="E267" s="16" t="n"/>
    </row>
    <row r="268" ht="13" customHeight="1" s="51">
      <c r="E268" s="16" t="n"/>
    </row>
    <row r="269" ht="13" customHeight="1" s="51">
      <c r="E269" s="16" t="n"/>
    </row>
    <row r="270" ht="13" customHeight="1" s="51">
      <c r="E270" s="16" t="n"/>
    </row>
    <row r="271" ht="13" customHeight="1" s="51">
      <c r="E271" s="16" t="n"/>
    </row>
    <row r="272" ht="13" customHeight="1" s="51">
      <c r="E272" s="16" t="n"/>
    </row>
    <row r="273" ht="13" customHeight="1" s="51">
      <c r="E273" s="16" t="n"/>
    </row>
    <row r="274" ht="13" customHeight="1" s="51">
      <c r="E274" s="16" t="n"/>
    </row>
    <row r="275" ht="13" customHeight="1" s="51">
      <c r="E275" s="16" t="n"/>
    </row>
    <row r="276" ht="13" customHeight="1" s="51">
      <c r="E276" s="16" t="n"/>
    </row>
    <row r="277" ht="13" customHeight="1" s="51">
      <c r="E277" s="16" t="n"/>
    </row>
    <row r="278" ht="13" customHeight="1" s="51">
      <c r="E278" s="16" t="n"/>
    </row>
    <row r="279" ht="13" customHeight="1" s="51">
      <c r="E279" s="16" t="n"/>
    </row>
    <row r="280" ht="13" customHeight="1" s="51">
      <c r="E280" s="16" t="n"/>
    </row>
    <row r="281" ht="13" customHeight="1" s="51">
      <c r="E281" s="16" t="n"/>
    </row>
    <row r="282" ht="13" customHeight="1" s="51">
      <c r="E282" s="16" t="n"/>
    </row>
    <row r="283" ht="13" customHeight="1" s="51">
      <c r="E283" s="16" t="n"/>
    </row>
    <row r="284" ht="13" customHeight="1" s="51">
      <c r="E284" s="16" t="n"/>
    </row>
    <row r="285" ht="13" customHeight="1" s="51">
      <c r="E285" s="16" t="n"/>
    </row>
    <row r="286" ht="13" customHeight="1" s="51">
      <c r="E286" s="16" t="n"/>
    </row>
    <row r="287" ht="13" customHeight="1" s="51">
      <c r="E287" s="16" t="n"/>
    </row>
    <row r="288" ht="13" customHeight="1" s="51">
      <c r="E288" s="16" t="n"/>
    </row>
    <row r="289" ht="13" customHeight="1" s="51">
      <c r="E289" s="16" t="n"/>
    </row>
    <row r="290" ht="13" customHeight="1" s="51">
      <c r="E290" s="16" t="n"/>
    </row>
    <row r="291" ht="13" customHeight="1" s="51">
      <c r="E291" s="16" t="n"/>
    </row>
    <row r="292" ht="13" customHeight="1" s="51">
      <c r="E292" s="16" t="n"/>
    </row>
    <row r="293" ht="13" customHeight="1" s="51">
      <c r="E293" s="16" t="n"/>
    </row>
    <row r="294" ht="13" customHeight="1" s="51">
      <c r="E294" s="16" t="n"/>
    </row>
    <row r="295" ht="13" customHeight="1" s="51">
      <c r="E295" s="16" t="n"/>
    </row>
    <row r="296" ht="13" customHeight="1" s="51">
      <c r="E296" s="16" t="n"/>
    </row>
    <row r="297" ht="13" customHeight="1" s="51">
      <c r="E297" s="16" t="n"/>
    </row>
    <row r="298" ht="13" customHeight="1" s="51">
      <c r="E298" s="16" t="n"/>
    </row>
    <row r="299" ht="13" customHeight="1" s="51">
      <c r="E299" s="16" t="n"/>
    </row>
    <row r="300" ht="13" customHeight="1" s="51">
      <c r="E300" s="16" t="n"/>
    </row>
    <row r="301" ht="13" customHeight="1" s="51">
      <c r="E301" s="16" t="n"/>
    </row>
    <row r="302" ht="13" customHeight="1" s="51">
      <c r="E302" s="16" t="n"/>
    </row>
    <row r="303" ht="13" customHeight="1" s="51">
      <c r="E303" s="16" t="n"/>
    </row>
    <row r="304" ht="13" customHeight="1" s="51">
      <c r="E304" s="16" t="n"/>
    </row>
    <row r="305" ht="13" customHeight="1" s="51">
      <c r="E305" s="16" t="n"/>
    </row>
    <row r="306" ht="13" customHeight="1" s="51">
      <c r="E306" s="16" t="n"/>
    </row>
    <row r="307" ht="13" customHeight="1" s="51">
      <c r="E307" s="16" t="n"/>
    </row>
    <row r="308" ht="13" customHeight="1" s="51">
      <c r="E308" s="16" t="n"/>
    </row>
    <row r="309" ht="13" customHeight="1" s="51">
      <c r="E309" s="16" t="n"/>
    </row>
    <row r="310" ht="13" customHeight="1" s="51">
      <c r="E310" s="16" t="n"/>
    </row>
    <row r="311" ht="13" customHeight="1" s="51">
      <c r="E311" s="16" t="n"/>
    </row>
    <row r="312" ht="13" customHeight="1" s="51">
      <c r="E312" s="16" t="n"/>
    </row>
    <row r="313" ht="13" customHeight="1" s="51">
      <c r="E313" s="16" t="n"/>
    </row>
    <row r="314" ht="13" customHeight="1" s="51">
      <c r="E314" s="16" t="n"/>
    </row>
    <row r="315" ht="13" customHeight="1" s="51">
      <c r="E315" s="16" t="n"/>
    </row>
    <row r="316" ht="13" customHeight="1" s="51">
      <c r="E316" s="16" t="n"/>
    </row>
    <row r="317" ht="13" customHeight="1" s="51">
      <c r="E317" s="16" t="n"/>
    </row>
    <row r="318" ht="13" customHeight="1" s="51">
      <c r="E318" s="16" t="n"/>
    </row>
    <row r="319" ht="13" customHeight="1" s="51">
      <c r="E319" s="16" t="n"/>
    </row>
    <row r="320" ht="13" customHeight="1" s="51">
      <c r="E320" s="16" t="n"/>
    </row>
    <row r="321" ht="13" customHeight="1" s="51">
      <c r="E321" s="16" t="n"/>
    </row>
    <row r="322" ht="13" customHeight="1" s="51">
      <c r="E322" s="16" t="n"/>
    </row>
    <row r="323" ht="13" customHeight="1" s="51">
      <c r="E323" s="16" t="n"/>
    </row>
    <row r="324" ht="13" customHeight="1" s="51">
      <c r="E324" s="16" t="n"/>
    </row>
    <row r="325" ht="13" customHeight="1" s="51">
      <c r="E325" s="16" t="n"/>
    </row>
    <row r="326" ht="13" customHeight="1" s="51">
      <c r="E326" s="16" t="n"/>
    </row>
    <row r="327" ht="13" customHeight="1" s="51">
      <c r="E327" s="16" t="n"/>
    </row>
    <row r="328" ht="13" customHeight="1" s="51">
      <c r="E328" s="16" t="n"/>
    </row>
    <row r="329" ht="13" customHeight="1" s="51">
      <c r="E329" s="16" t="n"/>
    </row>
    <row r="330" ht="13" customHeight="1" s="51">
      <c r="E330" s="16" t="n"/>
    </row>
    <row r="331" ht="13" customHeight="1" s="51">
      <c r="E331" s="16" t="n"/>
    </row>
    <row r="332" ht="13" customHeight="1" s="51">
      <c r="E332" s="16" t="n"/>
    </row>
    <row r="333" ht="13" customHeight="1" s="51">
      <c r="E333" s="16" t="n"/>
    </row>
    <row r="334" ht="13" customHeight="1" s="51">
      <c r="E334" s="16" t="n"/>
    </row>
    <row r="335" ht="13" customHeight="1" s="51">
      <c r="E335" s="16" t="n"/>
    </row>
    <row r="336" ht="13" customHeight="1" s="51">
      <c r="E336" s="16" t="n"/>
    </row>
    <row r="337" ht="13" customHeight="1" s="51">
      <c r="E337" s="16" t="n"/>
    </row>
    <row r="338" ht="13" customHeight="1" s="51">
      <c r="E338" s="16" t="n"/>
    </row>
    <row r="339" ht="13" customHeight="1" s="51">
      <c r="E339" s="16" t="n"/>
    </row>
    <row r="340" ht="13" customHeight="1" s="51">
      <c r="E340" s="16" t="n"/>
    </row>
    <row r="341" ht="13" customHeight="1" s="51">
      <c r="E341" s="16" t="n"/>
    </row>
    <row r="342" ht="13" customHeight="1" s="51">
      <c r="E342" s="16" t="n"/>
    </row>
    <row r="343" ht="13" customHeight="1" s="51">
      <c r="E343" s="16" t="n"/>
    </row>
    <row r="344" ht="13" customHeight="1" s="51">
      <c r="E344" s="16" t="n"/>
    </row>
    <row r="345" ht="13" customHeight="1" s="51">
      <c r="E345" s="16" t="n"/>
    </row>
    <row r="346" ht="13" customHeight="1" s="51">
      <c r="E346" s="16" t="n"/>
    </row>
    <row r="347" ht="13" customHeight="1" s="51">
      <c r="E347" s="16" t="n"/>
    </row>
    <row r="348" ht="13" customHeight="1" s="51">
      <c r="E348" s="16" t="n"/>
    </row>
    <row r="349" ht="13" customHeight="1" s="51">
      <c r="E349" s="16" t="n"/>
    </row>
    <row r="350" ht="13" customHeight="1" s="51">
      <c r="E350" s="16" t="n"/>
    </row>
    <row r="351" ht="13" customHeight="1" s="51">
      <c r="E351" s="16" t="n"/>
    </row>
    <row r="352" ht="13" customHeight="1" s="51">
      <c r="E352" s="16" t="n"/>
    </row>
    <row r="353" ht="13" customHeight="1" s="51">
      <c r="E353" s="16" t="n"/>
    </row>
    <row r="354" ht="13" customHeight="1" s="51">
      <c r="E354" s="16" t="n"/>
    </row>
    <row r="355" ht="13" customHeight="1" s="51">
      <c r="E355" s="16" t="n"/>
    </row>
    <row r="356" ht="13" customHeight="1" s="51">
      <c r="E356" s="16" t="n"/>
    </row>
    <row r="357" ht="13" customHeight="1" s="51">
      <c r="E357" s="16" t="n"/>
    </row>
    <row r="358" ht="13" customHeight="1" s="51">
      <c r="E358" s="16" t="n"/>
    </row>
    <row r="359" ht="13" customHeight="1" s="51">
      <c r="E359" s="16" t="n"/>
    </row>
    <row r="360" ht="13" customHeight="1" s="51">
      <c r="E360" s="16" t="n"/>
    </row>
    <row r="361" ht="13" customHeight="1" s="51">
      <c r="E361" s="16" t="n"/>
    </row>
    <row r="362" ht="13" customHeight="1" s="51">
      <c r="E362" s="16" t="n"/>
    </row>
    <row r="363" ht="13" customHeight="1" s="51">
      <c r="E363" s="16" t="n"/>
    </row>
    <row r="364" ht="13" customHeight="1" s="51">
      <c r="E364" s="16" t="n"/>
    </row>
    <row r="365" ht="13" customHeight="1" s="51">
      <c r="E365" s="16" t="n"/>
    </row>
    <row r="366" ht="13" customHeight="1" s="51">
      <c r="E366" s="16" t="n"/>
    </row>
    <row r="367" ht="13" customHeight="1" s="51">
      <c r="E367" s="16" t="n"/>
    </row>
    <row r="368" ht="13" customHeight="1" s="51">
      <c r="E368" s="16" t="n"/>
    </row>
    <row r="369" ht="13" customHeight="1" s="51">
      <c r="E369" s="16" t="n"/>
    </row>
    <row r="370" ht="13" customHeight="1" s="51">
      <c r="E370" s="16" t="n"/>
    </row>
    <row r="371" ht="13" customHeight="1" s="51">
      <c r="E371" s="16" t="n"/>
    </row>
    <row r="372" ht="13" customHeight="1" s="51">
      <c r="E372" s="16" t="n"/>
    </row>
    <row r="373" ht="13" customHeight="1" s="51">
      <c r="E373" s="16" t="n"/>
    </row>
    <row r="374" ht="13" customHeight="1" s="51">
      <c r="E374" s="16" t="n"/>
    </row>
    <row r="375" ht="13" customHeight="1" s="51">
      <c r="E375" s="16" t="n"/>
    </row>
    <row r="376" ht="13" customHeight="1" s="51">
      <c r="E376" s="16" t="n"/>
    </row>
    <row r="377" ht="13" customHeight="1" s="51">
      <c r="E377" s="16" t="n"/>
    </row>
    <row r="378" ht="13" customHeight="1" s="51">
      <c r="E378" s="16" t="n"/>
    </row>
    <row r="379" ht="13" customHeight="1" s="51">
      <c r="E379" s="16" t="n"/>
    </row>
    <row r="380" ht="13" customHeight="1" s="51">
      <c r="E380" s="16" t="n"/>
    </row>
    <row r="381" ht="13" customHeight="1" s="51">
      <c r="E381" s="16" t="n"/>
    </row>
    <row r="382" ht="13" customHeight="1" s="51">
      <c r="E382" s="16" t="n"/>
    </row>
    <row r="383" ht="13" customHeight="1" s="51">
      <c r="E383" s="16" t="n"/>
    </row>
    <row r="384" ht="13" customHeight="1" s="51">
      <c r="E384" s="16" t="n"/>
    </row>
    <row r="385" ht="13" customHeight="1" s="51">
      <c r="E385" s="16" t="n"/>
    </row>
    <row r="386" ht="13" customHeight="1" s="51">
      <c r="E386" s="16" t="n"/>
    </row>
    <row r="387" ht="13" customHeight="1" s="51">
      <c r="E387" s="16" t="n"/>
    </row>
    <row r="388" ht="13" customHeight="1" s="51">
      <c r="E388" s="16" t="n"/>
    </row>
    <row r="389" ht="13" customHeight="1" s="51">
      <c r="E389" s="16" t="n"/>
    </row>
    <row r="390" ht="13" customHeight="1" s="51">
      <c r="E390" s="16" t="n"/>
    </row>
    <row r="391" ht="13" customHeight="1" s="51">
      <c r="E391" s="16" t="n"/>
    </row>
    <row r="392" ht="13" customHeight="1" s="51">
      <c r="E392" s="16" t="n"/>
    </row>
    <row r="393" ht="13" customHeight="1" s="51">
      <c r="E393" s="16" t="n"/>
    </row>
    <row r="394" ht="13" customHeight="1" s="51">
      <c r="E394" s="16" t="n"/>
    </row>
    <row r="395" ht="13" customHeight="1" s="51">
      <c r="E395" s="16" t="n"/>
    </row>
    <row r="396" ht="13" customHeight="1" s="51">
      <c r="E396" s="16" t="n"/>
    </row>
    <row r="397" ht="13" customHeight="1" s="51">
      <c r="E397" s="16" t="n"/>
    </row>
    <row r="398" ht="13" customHeight="1" s="51">
      <c r="E398" s="16" t="n"/>
    </row>
    <row r="399" ht="13" customHeight="1" s="51">
      <c r="E399" s="16" t="n"/>
    </row>
    <row r="400" ht="13" customHeight="1" s="51">
      <c r="E400" s="16" t="n"/>
    </row>
    <row r="401" ht="13" customHeight="1" s="51">
      <c r="E401" s="16" t="n"/>
    </row>
    <row r="402" ht="13" customHeight="1" s="51">
      <c r="E402" s="16" t="n"/>
    </row>
    <row r="403" ht="13" customHeight="1" s="51">
      <c r="E403" s="16" t="n"/>
    </row>
    <row r="404" ht="13" customHeight="1" s="51">
      <c r="E404" s="16" t="n"/>
    </row>
    <row r="405" ht="13" customHeight="1" s="51">
      <c r="E405" s="16" t="n"/>
    </row>
    <row r="406" ht="13" customHeight="1" s="51">
      <c r="E406" s="16" t="n"/>
    </row>
    <row r="407" ht="13" customHeight="1" s="51">
      <c r="E407" s="16" t="n"/>
    </row>
    <row r="408" ht="13" customHeight="1" s="51">
      <c r="E408" s="16" t="n"/>
    </row>
    <row r="409" ht="13" customHeight="1" s="51">
      <c r="E409" s="16" t="n"/>
    </row>
    <row r="410" ht="13" customHeight="1" s="51">
      <c r="E410" s="16" t="n"/>
    </row>
    <row r="411" ht="13" customHeight="1" s="51">
      <c r="E411" s="16" t="n"/>
    </row>
    <row r="412" ht="13" customHeight="1" s="51">
      <c r="E412" s="16" t="n"/>
    </row>
    <row r="413" ht="13" customHeight="1" s="51">
      <c r="E413" s="16" t="n"/>
    </row>
    <row r="414" ht="13" customHeight="1" s="51">
      <c r="E414" s="16" t="n"/>
    </row>
    <row r="415" ht="13" customHeight="1" s="51">
      <c r="E415" s="16" t="n"/>
    </row>
    <row r="416" ht="13" customHeight="1" s="51">
      <c r="E416" s="16" t="n"/>
    </row>
    <row r="417" ht="13" customHeight="1" s="51">
      <c r="E417" s="16" t="n"/>
    </row>
    <row r="418" ht="13" customHeight="1" s="51">
      <c r="E418" s="16" t="n"/>
    </row>
    <row r="419" ht="13" customHeight="1" s="51">
      <c r="E419" s="16" t="n"/>
    </row>
    <row r="420" ht="13" customHeight="1" s="51">
      <c r="E420" s="16" t="n"/>
    </row>
    <row r="421" ht="13" customHeight="1" s="51">
      <c r="E421" s="16" t="n"/>
    </row>
    <row r="422" ht="13" customHeight="1" s="51">
      <c r="E422" s="16" t="n"/>
    </row>
    <row r="423" ht="13" customHeight="1" s="51">
      <c r="E423" s="16" t="n"/>
    </row>
    <row r="424" ht="13" customHeight="1" s="51">
      <c r="E424" s="16" t="n"/>
    </row>
    <row r="425" ht="13" customHeight="1" s="51">
      <c r="E425" s="16" t="n"/>
    </row>
    <row r="426" ht="13" customHeight="1" s="51">
      <c r="E426" s="16" t="n"/>
    </row>
    <row r="427" ht="13" customHeight="1" s="51">
      <c r="E427" s="16" t="n"/>
    </row>
    <row r="428" ht="13" customHeight="1" s="51">
      <c r="E428" s="16" t="n"/>
    </row>
    <row r="429" ht="13" customHeight="1" s="51">
      <c r="E429" s="16" t="n"/>
    </row>
    <row r="430" ht="13" customHeight="1" s="51">
      <c r="E430" s="16" t="n"/>
    </row>
    <row r="431" ht="13" customHeight="1" s="51">
      <c r="E431" s="16" t="n"/>
    </row>
    <row r="432" ht="13" customHeight="1" s="51">
      <c r="E432" s="16" t="n"/>
    </row>
    <row r="433" ht="13" customHeight="1" s="51">
      <c r="E433" s="16" t="n"/>
    </row>
    <row r="434" ht="13" customHeight="1" s="51">
      <c r="E434" s="16" t="n"/>
    </row>
    <row r="435" ht="13" customHeight="1" s="51">
      <c r="E435" s="16" t="n"/>
    </row>
    <row r="436" ht="13" customHeight="1" s="51">
      <c r="E436" s="16" t="n"/>
    </row>
    <row r="437" ht="13" customHeight="1" s="51">
      <c r="E437" s="16" t="n"/>
    </row>
    <row r="438" ht="13" customHeight="1" s="51">
      <c r="E438" s="16" t="n"/>
    </row>
    <row r="439" ht="13" customHeight="1" s="51">
      <c r="E439" s="16" t="n"/>
    </row>
    <row r="440" ht="13" customHeight="1" s="51">
      <c r="E440" s="16" t="n"/>
    </row>
    <row r="441" ht="13" customHeight="1" s="51">
      <c r="E441" s="16" t="n"/>
    </row>
    <row r="442" ht="13" customHeight="1" s="51">
      <c r="E442" s="16" t="n"/>
    </row>
    <row r="443" ht="13" customHeight="1" s="51">
      <c r="E443" s="16" t="n"/>
    </row>
    <row r="444" ht="13" customHeight="1" s="51">
      <c r="E444" s="16" t="n"/>
    </row>
    <row r="445" ht="13" customHeight="1" s="51">
      <c r="E445" s="16" t="n"/>
    </row>
    <row r="446" ht="13" customHeight="1" s="51">
      <c r="E446" s="16" t="n"/>
    </row>
    <row r="447" ht="13" customHeight="1" s="51">
      <c r="E447" s="16" t="n"/>
    </row>
    <row r="448" ht="13" customHeight="1" s="51">
      <c r="E448" s="16" t="n"/>
    </row>
    <row r="449" ht="13" customHeight="1" s="51">
      <c r="E449" s="16" t="n"/>
    </row>
    <row r="450" ht="13" customHeight="1" s="51">
      <c r="E450" s="16" t="n"/>
    </row>
    <row r="451" ht="13" customHeight="1" s="51">
      <c r="E451" s="16" t="n"/>
    </row>
    <row r="452" ht="13" customHeight="1" s="51">
      <c r="E452" s="16" t="n"/>
    </row>
    <row r="453" ht="13" customHeight="1" s="51">
      <c r="E453" s="16" t="n"/>
    </row>
    <row r="454" ht="13" customHeight="1" s="51">
      <c r="E454" s="16" t="n"/>
    </row>
    <row r="455" ht="13" customHeight="1" s="51">
      <c r="E455" s="16" t="n"/>
    </row>
    <row r="456" ht="13" customHeight="1" s="51">
      <c r="E456" s="16" t="n"/>
    </row>
    <row r="457" ht="13" customHeight="1" s="51">
      <c r="E457" s="16" t="n"/>
    </row>
    <row r="458" ht="13" customHeight="1" s="51">
      <c r="E458" s="16" t="n"/>
    </row>
    <row r="459" ht="13" customHeight="1" s="51">
      <c r="E459" s="16" t="n"/>
    </row>
    <row r="460" ht="13" customHeight="1" s="51">
      <c r="E460" s="16" t="n"/>
    </row>
    <row r="461" ht="13" customHeight="1" s="51">
      <c r="E461" s="16" t="n"/>
    </row>
    <row r="462" ht="13" customHeight="1" s="51">
      <c r="E462" s="16" t="n"/>
    </row>
    <row r="463" ht="13" customHeight="1" s="51">
      <c r="E463" s="16" t="n"/>
    </row>
    <row r="464" ht="13" customHeight="1" s="51">
      <c r="E464" s="16" t="n"/>
    </row>
    <row r="465" ht="13" customHeight="1" s="51">
      <c r="E465" s="16" t="n"/>
    </row>
    <row r="466" ht="13" customHeight="1" s="51">
      <c r="E466" s="16" t="n"/>
    </row>
    <row r="467" ht="13" customHeight="1" s="51">
      <c r="E467" s="16" t="n"/>
    </row>
    <row r="468" ht="13" customHeight="1" s="51">
      <c r="E468" s="16" t="n"/>
    </row>
    <row r="469" ht="13" customHeight="1" s="51">
      <c r="E469" s="16" t="n"/>
    </row>
    <row r="470" ht="13" customHeight="1" s="51">
      <c r="E470" s="16" t="n"/>
    </row>
    <row r="471" ht="13" customHeight="1" s="51">
      <c r="E471" s="16" t="n"/>
    </row>
    <row r="472" ht="13" customHeight="1" s="51">
      <c r="E472" s="16" t="n"/>
    </row>
    <row r="473" ht="13" customHeight="1" s="51">
      <c r="E473" s="16" t="n"/>
    </row>
    <row r="474" ht="13" customHeight="1" s="51">
      <c r="E474" s="16" t="n"/>
    </row>
    <row r="475" ht="13" customHeight="1" s="51">
      <c r="E475" s="16" t="n"/>
    </row>
    <row r="476" ht="13" customHeight="1" s="51">
      <c r="E476" s="16" t="n"/>
    </row>
    <row r="477" ht="13" customHeight="1" s="51">
      <c r="E477" s="16" t="n"/>
    </row>
    <row r="478" ht="13" customHeight="1" s="51">
      <c r="E478" s="16" t="n"/>
    </row>
    <row r="479" ht="13" customHeight="1" s="51">
      <c r="E479" s="16" t="n"/>
    </row>
    <row r="480" ht="13" customHeight="1" s="51">
      <c r="E480" s="16" t="n"/>
    </row>
    <row r="481" ht="13" customHeight="1" s="51">
      <c r="E481" s="16" t="n"/>
    </row>
    <row r="482" ht="13" customHeight="1" s="51">
      <c r="E482" s="16" t="n"/>
    </row>
    <row r="483" ht="13" customHeight="1" s="51">
      <c r="E483" s="16" t="n"/>
    </row>
    <row r="484" ht="13" customHeight="1" s="51">
      <c r="E484" s="16" t="n"/>
    </row>
    <row r="485" ht="13" customHeight="1" s="51">
      <c r="E485" s="16" t="n"/>
    </row>
    <row r="486" ht="13" customHeight="1" s="51">
      <c r="E486" s="16" t="n"/>
    </row>
    <row r="487" ht="13" customHeight="1" s="51">
      <c r="E487" s="16" t="n"/>
    </row>
    <row r="488" ht="13" customHeight="1" s="51">
      <c r="E488" s="16" t="n"/>
    </row>
    <row r="489" ht="13" customHeight="1" s="51">
      <c r="E489" s="16" t="n"/>
    </row>
    <row r="490" ht="13" customHeight="1" s="51">
      <c r="E490" s="16" t="n"/>
    </row>
    <row r="491" ht="13" customHeight="1" s="51">
      <c r="E491" s="16" t="n"/>
    </row>
    <row r="492" ht="13" customHeight="1" s="51">
      <c r="E492" s="16" t="n"/>
    </row>
    <row r="493" ht="13" customHeight="1" s="51">
      <c r="E493" s="16" t="n"/>
    </row>
    <row r="494" ht="13" customHeight="1" s="51">
      <c r="E494" s="16" t="n"/>
    </row>
    <row r="495" ht="13" customHeight="1" s="51">
      <c r="E495" s="16" t="n"/>
    </row>
    <row r="496" ht="13" customHeight="1" s="51">
      <c r="E496" s="16" t="n"/>
    </row>
    <row r="497" ht="13" customHeight="1" s="51">
      <c r="E497" s="16" t="n"/>
    </row>
    <row r="498" ht="13" customHeight="1" s="51">
      <c r="E498" s="16" t="n"/>
    </row>
    <row r="499" ht="13" customHeight="1" s="51">
      <c r="E499" s="16" t="n"/>
    </row>
    <row r="500" ht="13" customHeight="1" s="51">
      <c r="E500" s="16" t="n"/>
    </row>
    <row r="501" ht="13" customHeight="1" s="51">
      <c r="E501" s="16" t="n"/>
    </row>
    <row r="502" ht="13" customHeight="1" s="51">
      <c r="E502" s="16" t="n"/>
    </row>
    <row r="503" ht="13" customHeight="1" s="51">
      <c r="E503" s="16" t="n"/>
    </row>
    <row r="504" ht="13" customHeight="1" s="51">
      <c r="E504" s="16" t="n"/>
    </row>
    <row r="505" ht="13" customHeight="1" s="51">
      <c r="E505" s="16" t="n"/>
    </row>
    <row r="506" ht="13" customHeight="1" s="51">
      <c r="E506" s="16" t="n"/>
    </row>
    <row r="507" ht="13" customHeight="1" s="51">
      <c r="E507" s="16" t="n"/>
    </row>
    <row r="508" ht="13" customHeight="1" s="51">
      <c r="E508" s="16" t="n"/>
    </row>
    <row r="509" ht="13" customHeight="1" s="51">
      <c r="E509" s="16" t="n"/>
    </row>
    <row r="510" ht="13" customHeight="1" s="51">
      <c r="E510" s="16" t="n"/>
    </row>
    <row r="511" ht="13" customHeight="1" s="51">
      <c r="E511" s="16" t="n"/>
    </row>
    <row r="512" ht="13" customHeight="1" s="51">
      <c r="E512" s="16" t="n"/>
    </row>
    <row r="513" ht="13" customHeight="1" s="51">
      <c r="E513" s="16" t="n"/>
    </row>
    <row r="514" ht="13" customHeight="1" s="51">
      <c r="E514" s="16" t="n"/>
    </row>
    <row r="515" ht="13" customHeight="1" s="51">
      <c r="E515" s="16" t="n"/>
    </row>
    <row r="516" ht="13" customHeight="1" s="51">
      <c r="E516" s="16" t="n"/>
    </row>
    <row r="517" ht="13" customHeight="1" s="51">
      <c r="E517" s="16" t="n"/>
    </row>
    <row r="518" ht="13" customHeight="1" s="51">
      <c r="E518" s="16" t="n"/>
    </row>
    <row r="519" ht="13" customHeight="1" s="51">
      <c r="E519" s="16" t="n"/>
    </row>
    <row r="520" ht="13" customHeight="1" s="51">
      <c r="E520" s="16" t="n"/>
    </row>
    <row r="521" ht="13" customHeight="1" s="51">
      <c r="E521" s="16" t="n"/>
    </row>
    <row r="522" ht="13" customHeight="1" s="51">
      <c r="E522" s="16" t="n"/>
    </row>
    <row r="523" ht="13" customHeight="1" s="51">
      <c r="E523" s="16" t="n"/>
    </row>
    <row r="524" ht="13" customHeight="1" s="51">
      <c r="E524" s="16" t="n"/>
    </row>
    <row r="525" ht="13" customHeight="1" s="51">
      <c r="E525" s="16" t="n"/>
    </row>
    <row r="526" ht="13" customHeight="1" s="51">
      <c r="E526" s="16" t="n"/>
    </row>
    <row r="527" ht="13" customHeight="1" s="51">
      <c r="E527" s="16" t="n"/>
    </row>
    <row r="528" ht="13" customHeight="1" s="51">
      <c r="E528" s="16" t="n"/>
    </row>
    <row r="529" ht="13" customHeight="1" s="51">
      <c r="E529" s="16" t="n"/>
    </row>
    <row r="530" ht="13" customHeight="1" s="51">
      <c r="E530" s="16" t="n"/>
    </row>
    <row r="531" ht="13" customHeight="1" s="51">
      <c r="E531" s="16" t="n"/>
    </row>
    <row r="532" ht="13" customHeight="1" s="51">
      <c r="E532" s="16" t="n"/>
    </row>
    <row r="533" ht="13" customHeight="1" s="51">
      <c r="E533" s="16" t="n"/>
    </row>
    <row r="534" ht="13" customHeight="1" s="51">
      <c r="E534" s="16" t="n"/>
    </row>
    <row r="535" ht="13" customHeight="1" s="51">
      <c r="E535" s="16" t="n"/>
    </row>
    <row r="536" ht="13" customHeight="1" s="51">
      <c r="E536" s="16" t="n"/>
    </row>
    <row r="537" ht="13" customHeight="1" s="51">
      <c r="E537" s="16" t="n"/>
    </row>
    <row r="538" ht="13" customHeight="1" s="51">
      <c r="E538" s="16" t="n"/>
    </row>
    <row r="539" ht="13" customHeight="1" s="51">
      <c r="E539" s="16" t="n"/>
    </row>
    <row r="540" ht="13" customHeight="1" s="51">
      <c r="E540" s="16" t="n"/>
    </row>
    <row r="541" ht="13" customHeight="1" s="51">
      <c r="E541" s="16" t="n"/>
    </row>
    <row r="542" ht="13" customHeight="1" s="51">
      <c r="E542" s="16" t="n"/>
    </row>
    <row r="543" ht="13" customHeight="1" s="51">
      <c r="E543" s="16" t="n"/>
    </row>
    <row r="544" ht="13" customHeight="1" s="51">
      <c r="E544" s="16" t="n"/>
    </row>
    <row r="545" ht="13" customHeight="1" s="51">
      <c r="E545" s="16" t="n"/>
    </row>
    <row r="546" ht="13" customHeight="1" s="51">
      <c r="E546" s="16" t="n"/>
    </row>
    <row r="547" ht="13" customHeight="1" s="51">
      <c r="E547" s="16" t="n"/>
    </row>
    <row r="548" ht="13" customHeight="1" s="51">
      <c r="E548" s="16" t="n"/>
    </row>
    <row r="549" ht="13" customHeight="1" s="51">
      <c r="E549" s="16" t="n"/>
    </row>
    <row r="550" ht="13" customHeight="1" s="51">
      <c r="E550" s="16" t="n"/>
    </row>
    <row r="551" ht="13" customHeight="1" s="51">
      <c r="E551" s="16" t="n"/>
    </row>
    <row r="552" ht="13" customHeight="1" s="51">
      <c r="E552" s="16" t="n"/>
    </row>
    <row r="553" ht="13" customHeight="1" s="51">
      <c r="E553" s="16" t="n"/>
    </row>
    <row r="554" ht="13" customHeight="1" s="51">
      <c r="E554" s="16" t="n"/>
    </row>
    <row r="555" ht="13" customHeight="1" s="51">
      <c r="E555" s="16" t="n"/>
    </row>
    <row r="556" ht="13" customHeight="1" s="51">
      <c r="E556" s="16" t="n"/>
    </row>
    <row r="557" ht="13" customHeight="1" s="51">
      <c r="E557" s="16" t="n"/>
    </row>
    <row r="558" ht="13" customHeight="1" s="51">
      <c r="E558" s="16" t="n"/>
    </row>
    <row r="559" ht="13" customHeight="1" s="51">
      <c r="E559" s="16" t="n"/>
    </row>
    <row r="560" ht="13" customHeight="1" s="51">
      <c r="E560" s="16" t="n"/>
    </row>
    <row r="561" ht="13" customHeight="1" s="51">
      <c r="E561" s="16" t="n"/>
    </row>
    <row r="562" ht="13" customHeight="1" s="51">
      <c r="E562" s="16" t="n"/>
    </row>
    <row r="563" ht="13" customHeight="1" s="51">
      <c r="E563" s="16" t="n"/>
    </row>
    <row r="564" ht="13" customHeight="1" s="51">
      <c r="E564" s="16" t="n"/>
    </row>
    <row r="565" ht="13" customHeight="1" s="51">
      <c r="E565" s="16" t="n"/>
    </row>
    <row r="566" ht="13" customHeight="1" s="51">
      <c r="E566" s="16" t="n"/>
    </row>
    <row r="567" ht="13" customHeight="1" s="51">
      <c r="E567" s="16" t="n"/>
    </row>
    <row r="568" ht="13" customHeight="1" s="51">
      <c r="E568" s="16" t="n"/>
    </row>
    <row r="569" ht="13" customHeight="1" s="51">
      <c r="E569" s="16" t="n"/>
    </row>
    <row r="570" ht="13" customHeight="1" s="51">
      <c r="E570" s="16" t="n"/>
    </row>
    <row r="571" ht="13" customHeight="1" s="51">
      <c r="E571" s="16" t="n"/>
    </row>
    <row r="572" ht="13" customHeight="1" s="51">
      <c r="E572" s="16" t="n"/>
    </row>
    <row r="573" ht="13" customHeight="1" s="51">
      <c r="E573" s="16" t="n"/>
    </row>
    <row r="574" ht="13" customHeight="1" s="51">
      <c r="E574" s="16" t="n"/>
    </row>
    <row r="575" ht="13" customHeight="1" s="51">
      <c r="E575" s="16" t="n"/>
    </row>
    <row r="576" ht="13" customHeight="1" s="51">
      <c r="E576" s="16" t="n"/>
    </row>
    <row r="577" ht="13" customHeight="1" s="51">
      <c r="E577" s="16" t="n"/>
    </row>
    <row r="578" ht="13" customHeight="1" s="51">
      <c r="E578" s="16" t="n"/>
    </row>
    <row r="579" ht="13" customHeight="1" s="51">
      <c r="E579" s="16" t="n"/>
    </row>
    <row r="580" ht="13" customHeight="1" s="51">
      <c r="E580" s="16" t="n"/>
    </row>
    <row r="581" ht="13" customHeight="1" s="51">
      <c r="E581" s="16" t="n"/>
    </row>
    <row r="582" ht="13" customHeight="1" s="51">
      <c r="E582" s="16" t="n"/>
    </row>
    <row r="583" ht="13" customHeight="1" s="51">
      <c r="E583" s="16" t="n"/>
    </row>
    <row r="584" ht="13" customHeight="1" s="51">
      <c r="E584" s="16" t="n"/>
    </row>
    <row r="585" ht="13" customHeight="1" s="51">
      <c r="E585" s="16" t="n"/>
    </row>
    <row r="586" ht="13" customHeight="1" s="51">
      <c r="E586" s="16" t="n"/>
    </row>
    <row r="587" ht="13" customHeight="1" s="51">
      <c r="E587" s="16" t="n"/>
    </row>
    <row r="588" ht="13" customHeight="1" s="51">
      <c r="E588" s="16" t="n"/>
    </row>
    <row r="589" ht="13" customHeight="1" s="51">
      <c r="E589" s="16" t="n"/>
    </row>
    <row r="590" ht="13" customHeight="1" s="51">
      <c r="E590" s="16" t="n"/>
    </row>
    <row r="591" ht="13" customHeight="1" s="51">
      <c r="E591" s="16" t="n"/>
    </row>
    <row r="592" ht="13" customHeight="1" s="51">
      <c r="E592" s="16" t="n"/>
    </row>
    <row r="593" ht="13" customHeight="1" s="51">
      <c r="E593" s="16" t="n"/>
    </row>
    <row r="594" ht="13" customHeight="1" s="51">
      <c r="E594" s="16" t="n"/>
    </row>
    <row r="595" ht="13" customHeight="1" s="51">
      <c r="E595" s="16" t="n"/>
    </row>
    <row r="596" ht="13" customHeight="1" s="51">
      <c r="E596" s="16" t="n"/>
    </row>
    <row r="597" ht="13" customHeight="1" s="51">
      <c r="E597" s="16" t="n"/>
    </row>
    <row r="598" ht="13" customHeight="1" s="51">
      <c r="E598" s="16" t="n"/>
    </row>
    <row r="599" ht="13" customHeight="1" s="51">
      <c r="E599" s="16" t="n"/>
    </row>
    <row r="600" ht="13" customHeight="1" s="51">
      <c r="E600" s="16" t="n"/>
    </row>
    <row r="601" ht="13" customHeight="1" s="51">
      <c r="E601" s="16" t="n"/>
    </row>
    <row r="602" ht="13" customHeight="1" s="51">
      <c r="E602" s="16" t="n"/>
    </row>
    <row r="603" ht="13" customHeight="1" s="51">
      <c r="E603" s="16" t="n"/>
    </row>
    <row r="604" ht="13" customHeight="1" s="51">
      <c r="E604" s="16" t="n"/>
    </row>
    <row r="605" ht="13" customHeight="1" s="51">
      <c r="E605" s="16" t="n"/>
    </row>
    <row r="606" ht="13" customHeight="1" s="51">
      <c r="E606" s="16" t="n"/>
    </row>
    <row r="607" ht="13" customHeight="1" s="51">
      <c r="E607" s="16" t="n"/>
    </row>
    <row r="608" ht="13" customHeight="1" s="51">
      <c r="E608" s="16" t="n"/>
    </row>
    <row r="609" ht="13" customHeight="1" s="51">
      <c r="E609" s="16" t="n"/>
    </row>
    <row r="610" ht="13" customHeight="1" s="51">
      <c r="E610" s="16" t="n"/>
    </row>
    <row r="611" ht="13" customHeight="1" s="51">
      <c r="E611" s="16" t="n"/>
    </row>
    <row r="612" ht="13" customHeight="1" s="51">
      <c r="E612" s="16" t="n"/>
    </row>
    <row r="613" ht="13" customHeight="1" s="51">
      <c r="E613" s="16" t="n"/>
    </row>
    <row r="614" ht="13" customHeight="1" s="51">
      <c r="E614" s="16" t="n"/>
    </row>
    <row r="615" ht="13" customHeight="1" s="51">
      <c r="E615" s="16" t="n"/>
    </row>
    <row r="616" ht="13" customHeight="1" s="51">
      <c r="E616" s="16" t="n"/>
    </row>
    <row r="617" ht="13" customHeight="1" s="51">
      <c r="E617" s="16" t="n"/>
    </row>
    <row r="618" ht="13" customHeight="1" s="51">
      <c r="E618" s="16" t="n"/>
    </row>
    <row r="619" ht="13" customHeight="1" s="51">
      <c r="E619" s="16" t="n"/>
    </row>
    <row r="620" ht="13" customHeight="1" s="51">
      <c r="E620" s="16" t="n"/>
    </row>
    <row r="621" ht="13" customHeight="1" s="51">
      <c r="E621" s="16" t="n"/>
    </row>
    <row r="622" ht="13" customHeight="1" s="51">
      <c r="E622" s="16" t="n"/>
    </row>
    <row r="623" ht="13" customHeight="1" s="51">
      <c r="E623" s="16" t="n"/>
    </row>
    <row r="624" ht="13" customHeight="1" s="51">
      <c r="E624" s="16" t="n"/>
    </row>
    <row r="625" ht="13" customHeight="1" s="51">
      <c r="E625" s="16" t="n"/>
    </row>
    <row r="626" ht="13" customHeight="1" s="51">
      <c r="E626" s="16" t="n"/>
    </row>
    <row r="627" ht="13" customHeight="1" s="51">
      <c r="E627" s="16" t="n"/>
    </row>
    <row r="628" ht="13" customHeight="1" s="51">
      <c r="E628" s="16" t="n"/>
    </row>
    <row r="629" ht="13" customHeight="1" s="51">
      <c r="E629" s="16" t="n"/>
    </row>
    <row r="630" ht="13" customHeight="1" s="51">
      <c r="E630" s="16" t="n"/>
    </row>
    <row r="631" ht="13" customHeight="1" s="51">
      <c r="E631" s="16" t="n"/>
    </row>
    <row r="632" ht="13" customHeight="1" s="51">
      <c r="E632" s="16" t="n"/>
    </row>
    <row r="633" ht="13" customHeight="1" s="51">
      <c r="E633" s="16" t="n"/>
    </row>
    <row r="634" ht="13" customHeight="1" s="51">
      <c r="E634" s="16" t="n"/>
    </row>
    <row r="635" ht="13" customHeight="1" s="51">
      <c r="E635" s="16" t="n"/>
    </row>
    <row r="636" ht="13" customHeight="1" s="51">
      <c r="E636" s="16" t="n"/>
    </row>
    <row r="637" ht="13" customHeight="1" s="51">
      <c r="E637" s="16" t="n"/>
    </row>
    <row r="638" ht="13" customHeight="1" s="51">
      <c r="E638" s="16" t="n"/>
    </row>
    <row r="639" ht="13" customHeight="1" s="51">
      <c r="E639" s="16" t="n"/>
    </row>
    <row r="640" ht="13" customHeight="1" s="51">
      <c r="E640" s="16" t="n"/>
    </row>
    <row r="641" ht="13" customHeight="1" s="51">
      <c r="E641" s="16" t="n"/>
    </row>
    <row r="642" ht="13" customHeight="1" s="51">
      <c r="E642" s="16" t="n"/>
    </row>
    <row r="643" ht="13" customHeight="1" s="51">
      <c r="E643" s="16" t="n"/>
    </row>
    <row r="644" ht="13" customHeight="1" s="51">
      <c r="E644" s="16" t="n"/>
    </row>
    <row r="645" ht="13" customHeight="1" s="51">
      <c r="E645" s="16" t="n"/>
    </row>
    <row r="646" ht="13" customHeight="1" s="51">
      <c r="E646" s="16" t="n"/>
    </row>
    <row r="647" ht="13" customHeight="1" s="51">
      <c r="E647" s="16" t="n"/>
    </row>
    <row r="648" ht="13" customHeight="1" s="51">
      <c r="E648" s="16" t="n"/>
    </row>
    <row r="649" ht="13" customHeight="1" s="51">
      <c r="E649" s="16" t="n"/>
    </row>
    <row r="650" ht="13" customHeight="1" s="51">
      <c r="E650" s="16" t="n"/>
    </row>
    <row r="651" ht="13" customHeight="1" s="51">
      <c r="E651" s="16" t="n"/>
    </row>
    <row r="652" ht="13" customHeight="1" s="51">
      <c r="E652" s="16" t="n"/>
    </row>
    <row r="653" ht="13" customHeight="1" s="51">
      <c r="E653" s="16" t="n"/>
    </row>
    <row r="654" ht="13" customHeight="1" s="51">
      <c r="E654" s="16" t="n"/>
    </row>
    <row r="655" ht="13" customHeight="1" s="51">
      <c r="E655" s="16" t="n"/>
    </row>
    <row r="656" ht="13" customHeight="1" s="51">
      <c r="E656" s="16" t="n"/>
    </row>
    <row r="657" ht="13" customHeight="1" s="51">
      <c r="E657" s="16" t="n"/>
    </row>
    <row r="658" ht="13" customHeight="1" s="51">
      <c r="E658" s="16" t="n"/>
    </row>
    <row r="659" ht="13" customHeight="1" s="51">
      <c r="E659" s="16" t="n"/>
    </row>
    <row r="660" ht="13" customHeight="1" s="51">
      <c r="E660" s="16" t="n"/>
    </row>
    <row r="661" ht="13" customHeight="1" s="51">
      <c r="E661" s="16" t="n"/>
    </row>
    <row r="662" ht="13" customHeight="1" s="51">
      <c r="E662" s="16" t="n"/>
    </row>
    <row r="663" ht="13" customHeight="1" s="51">
      <c r="E663" s="16" t="n"/>
    </row>
    <row r="664" ht="13" customHeight="1" s="51">
      <c r="E664" s="16" t="n"/>
    </row>
    <row r="665" ht="13" customHeight="1" s="51">
      <c r="E665" s="16" t="n"/>
    </row>
    <row r="666" ht="13" customHeight="1" s="51">
      <c r="E666" s="16" t="n"/>
    </row>
    <row r="667" ht="13" customHeight="1" s="51">
      <c r="E667" s="16" t="n"/>
    </row>
    <row r="668" ht="13" customHeight="1" s="51">
      <c r="E668" s="16" t="n"/>
    </row>
    <row r="669" ht="13" customHeight="1" s="51">
      <c r="E669" s="16" t="n"/>
    </row>
    <row r="670" ht="13" customHeight="1" s="51">
      <c r="E670" s="16" t="n"/>
    </row>
    <row r="671" ht="13" customHeight="1" s="51">
      <c r="E671" s="16" t="n"/>
    </row>
    <row r="672" ht="13" customHeight="1" s="51">
      <c r="E672" s="16" t="n"/>
    </row>
    <row r="673" ht="13" customHeight="1" s="51">
      <c r="E673" s="16" t="n"/>
    </row>
    <row r="674" ht="13" customHeight="1" s="51">
      <c r="E674" s="16" t="n"/>
    </row>
    <row r="675" ht="13" customHeight="1" s="51">
      <c r="E675" s="16" t="n"/>
    </row>
    <row r="676" ht="13" customHeight="1" s="51">
      <c r="E676" s="16" t="n"/>
    </row>
    <row r="677" ht="13" customHeight="1" s="51">
      <c r="E677" s="16" t="n"/>
    </row>
    <row r="678" ht="13" customHeight="1" s="51">
      <c r="E678" s="16" t="n"/>
    </row>
    <row r="679" ht="13" customHeight="1" s="51">
      <c r="E679" s="16" t="n"/>
    </row>
    <row r="680" ht="13" customHeight="1" s="51">
      <c r="E680" s="16" t="n"/>
    </row>
    <row r="681" ht="13" customHeight="1" s="51">
      <c r="E681" s="16" t="n"/>
    </row>
    <row r="682" ht="13" customHeight="1" s="51">
      <c r="E682" s="16" t="n"/>
    </row>
    <row r="683" ht="13" customHeight="1" s="51">
      <c r="E683" s="16" t="n"/>
    </row>
    <row r="684" ht="13" customHeight="1" s="51">
      <c r="E684" s="16" t="n"/>
    </row>
    <row r="685" ht="13" customHeight="1" s="51">
      <c r="E685" s="16" t="n"/>
    </row>
    <row r="686" ht="13" customHeight="1" s="51">
      <c r="E686" s="16" t="n"/>
    </row>
    <row r="687" ht="13" customHeight="1" s="51">
      <c r="E687" s="16" t="n"/>
    </row>
    <row r="688" ht="13" customHeight="1" s="51">
      <c r="E688" s="16" t="n"/>
    </row>
    <row r="689" ht="13" customHeight="1" s="51">
      <c r="E689" s="16" t="n"/>
    </row>
    <row r="690" ht="13" customHeight="1" s="51">
      <c r="E690" s="16" t="n"/>
    </row>
    <row r="691" ht="13" customHeight="1" s="51">
      <c r="E691" s="16" t="n"/>
    </row>
    <row r="692" ht="13" customHeight="1" s="51">
      <c r="E692" s="16" t="n"/>
    </row>
    <row r="693" ht="13" customHeight="1" s="51">
      <c r="E693" s="16" t="n"/>
    </row>
    <row r="694" ht="13" customHeight="1" s="51">
      <c r="E694" s="16" t="n"/>
    </row>
    <row r="695" ht="13" customHeight="1" s="51">
      <c r="E695" s="16" t="n"/>
    </row>
    <row r="696" ht="13" customHeight="1" s="51">
      <c r="E696" s="16" t="n"/>
    </row>
    <row r="697" ht="13" customHeight="1" s="51">
      <c r="E697" s="16" t="n"/>
    </row>
    <row r="698" ht="13" customHeight="1" s="51">
      <c r="E698" s="16" t="n"/>
    </row>
    <row r="699" ht="13" customHeight="1" s="51">
      <c r="E699" s="16" t="n"/>
    </row>
    <row r="700" ht="13" customHeight="1" s="51">
      <c r="E700" s="16" t="n"/>
    </row>
    <row r="701" ht="13" customHeight="1" s="51">
      <c r="E701" s="16" t="n"/>
    </row>
    <row r="702" ht="13" customHeight="1" s="51">
      <c r="E702" s="16" t="n"/>
    </row>
    <row r="703" ht="13" customHeight="1" s="51">
      <c r="E703" s="16" t="n"/>
    </row>
    <row r="704" ht="13" customHeight="1" s="51">
      <c r="E704" s="16" t="n"/>
    </row>
    <row r="705" ht="13" customHeight="1" s="51">
      <c r="E705" s="16" t="n"/>
    </row>
    <row r="706" ht="13" customHeight="1" s="51">
      <c r="E706" s="16" t="n"/>
    </row>
    <row r="707" ht="13" customHeight="1" s="51">
      <c r="E707" s="16" t="n"/>
    </row>
    <row r="708" ht="13" customHeight="1" s="51">
      <c r="E708" s="16" t="n"/>
    </row>
    <row r="709" ht="13" customHeight="1" s="51">
      <c r="E709" s="16" t="n"/>
    </row>
    <row r="710" ht="13" customHeight="1" s="51">
      <c r="E710" s="16" t="n"/>
    </row>
    <row r="711" ht="13" customHeight="1" s="51">
      <c r="E711" s="16" t="n"/>
    </row>
    <row r="712" ht="13" customHeight="1" s="51">
      <c r="E712" s="16" t="n"/>
    </row>
    <row r="713" ht="13" customHeight="1" s="51">
      <c r="E713" s="16" t="n"/>
    </row>
    <row r="714" ht="13" customHeight="1" s="51">
      <c r="E714" s="16" t="n"/>
    </row>
    <row r="715" ht="13" customHeight="1" s="51">
      <c r="E715" s="16" t="n"/>
    </row>
    <row r="716" ht="13" customHeight="1" s="51">
      <c r="E716" s="16" t="n"/>
    </row>
    <row r="717" ht="13" customHeight="1" s="51">
      <c r="E717" s="16" t="n"/>
    </row>
    <row r="718" ht="13" customHeight="1" s="51">
      <c r="E718" s="16" t="n"/>
    </row>
    <row r="719" ht="13" customHeight="1" s="51">
      <c r="E719" s="16" t="n"/>
    </row>
    <row r="720" ht="13" customHeight="1" s="51">
      <c r="E720" s="16" t="n"/>
    </row>
    <row r="721" ht="13" customHeight="1" s="51">
      <c r="E721" s="16" t="n"/>
    </row>
    <row r="722" ht="13" customHeight="1" s="51">
      <c r="E722" s="16" t="n"/>
    </row>
    <row r="723" ht="13" customHeight="1" s="51">
      <c r="E723" s="16" t="n"/>
    </row>
    <row r="724" ht="13" customHeight="1" s="51">
      <c r="E724" s="16" t="n"/>
    </row>
    <row r="725" ht="13" customHeight="1" s="51">
      <c r="E725" s="16" t="n"/>
    </row>
    <row r="726" ht="13" customHeight="1" s="51">
      <c r="E726" s="16" t="n"/>
    </row>
    <row r="727" ht="13" customHeight="1" s="51">
      <c r="E727" s="16" t="n"/>
    </row>
    <row r="728" ht="13" customHeight="1" s="51">
      <c r="E728" s="16" t="n"/>
    </row>
    <row r="729" ht="13" customHeight="1" s="51">
      <c r="E729" s="16" t="n"/>
    </row>
    <row r="730" ht="13" customHeight="1" s="51">
      <c r="E730" s="16" t="n"/>
    </row>
    <row r="731" ht="13" customHeight="1" s="51">
      <c r="E731" s="16" t="n"/>
    </row>
    <row r="732" ht="13" customHeight="1" s="51">
      <c r="E732" s="16" t="n"/>
    </row>
    <row r="733" ht="13" customHeight="1" s="51">
      <c r="E733" s="16" t="n"/>
    </row>
    <row r="734" ht="13" customHeight="1" s="51">
      <c r="E734" s="16" t="n"/>
    </row>
    <row r="735" ht="13" customHeight="1" s="51">
      <c r="E735" s="16" t="n"/>
    </row>
    <row r="736" ht="13" customHeight="1" s="51">
      <c r="E736" s="16" t="n"/>
    </row>
    <row r="737" ht="13" customHeight="1" s="51">
      <c r="E737" s="16" t="n"/>
    </row>
    <row r="738" ht="13" customHeight="1" s="51">
      <c r="E738" s="16" t="n"/>
    </row>
    <row r="739" ht="13" customHeight="1" s="51">
      <c r="E739" s="16" t="n"/>
    </row>
    <row r="740" ht="13" customHeight="1" s="51">
      <c r="E740" s="16" t="n"/>
    </row>
    <row r="741" ht="13" customHeight="1" s="51">
      <c r="E741" s="16" t="n"/>
    </row>
    <row r="742" ht="13" customHeight="1" s="51">
      <c r="E742" s="16" t="n"/>
    </row>
    <row r="743" ht="13" customHeight="1" s="51">
      <c r="E743" s="16" t="n"/>
    </row>
    <row r="744" ht="13" customHeight="1" s="51">
      <c r="E744" s="16" t="n"/>
    </row>
    <row r="745" ht="13" customHeight="1" s="51">
      <c r="E745" s="16" t="n"/>
    </row>
    <row r="746" ht="13" customHeight="1" s="51">
      <c r="E746" s="16" t="n"/>
    </row>
    <row r="747" ht="13" customHeight="1" s="51">
      <c r="E747" s="16" t="n"/>
    </row>
    <row r="748" ht="13" customHeight="1" s="51">
      <c r="E748" s="16" t="n"/>
    </row>
    <row r="749" ht="13" customHeight="1" s="51">
      <c r="E749" s="16" t="n"/>
    </row>
    <row r="750" ht="13" customHeight="1" s="51">
      <c r="E750" s="16" t="n"/>
    </row>
    <row r="751" ht="13" customHeight="1" s="51">
      <c r="E751" s="16" t="n"/>
    </row>
    <row r="752" ht="13" customHeight="1" s="51">
      <c r="E752" s="16" t="n"/>
    </row>
    <row r="753" ht="13" customHeight="1" s="51">
      <c r="E753" s="16" t="n"/>
    </row>
    <row r="754" ht="13" customHeight="1" s="51">
      <c r="E754" s="16" t="n"/>
    </row>
    <row r="755" ht="13" customHeight="1" s="51">
      <c r="E755" s="16" t="n"/>
    </row>
    <row r="756" ht="13" customHeight="1" s="51">
      <c r="E756" s="16" t="n"/>
    </row>
    <row r="757" ht="13" customHeight="1" s="51">
      <c r="E757" s="16" t="n"/>
    </row>
    <row r="758" ht="13" customHeight="1" s="51">
      <c r="E758" s="16" t="n"/>
    </row>
    <row r="759" ht="13" customHeight="1" s="51">
      <c r="E759" s="16" t="n"/>
    </row>
    <row r="760" ht="13" customHeight="1" s="51">
      <c r="E760" s="16" t="n"/>
    </row>
    <row r="761" ht="13" customHeight="1" s="51">
      <c r="E761" s="16" t="n"/>
    </row>
    <row r="762" ht="13" customHeight="1" s="51">
      <c r="E762" s="16" t="n"/>
    </row>
    <row r="763" ht="13" customHeight="1" s="51">
      <c r="E763" s="16" t="n"/>
    </row>
    <row r="764" ht="13" customHeight="1" s="51">
      <c r="E764" s="16" t="n"/>
    </row>
    <row r="765" ht="13" customHeight="1" s="51">
      <c r="E765" s="16" t="n"/>
    </row>
    <row r="766" ht="13" customHeight="1" s="51">
      <c r="E766" s="16" t="n"/>
    </row>
    <row r="767" ht="13" customHeight="1" s="51">
      <c r="E767" s="16" t="n"/>
    </row>
    <row r="768" ht="13" customHeight="1" s="51">
      <c r="E768" s="16" t="n"/>
    </row>
    <row r="769" ht="13" customHeight="1" s="51">
      <c r="E769" s="16" t="n"/>
    </row>
    <row r="770" ht="13" customHeight="1" s="51">
      <c r="E770" s="16" t="n"/>
    </row>
    <row r="771" ht="13" customHeight="1" s="51">
      <c r="E771" s="16" t="n"/>
    </row>
    <row r="772" ht="13" customHeight="1" s="51">
      <c r="E772" s="16" t="n"/>
    </row>
    <row r="773" ht="13" customHeight="1" s="51">
      <c r="E773" s="16" t="n"/>
    </row>
    <row r="774" ht="13" customHeight="1" s="51">
      <c r="E774" s="16" t="n"/>
    </row>
    <row r="775" ht="13" customHeight="1" s="51">
      <c r="E775" s="16" t="n"/>
    </row>
    <row r="776" ht="13" customHeight="1" s="51">
      <c r="E776" s="16" t="n"/>
    </row>
    <row r="777" ht="13" customHeight="1" s="51">
      <c r="E777" s="16" t="n"/>
    </row>
    <row r="778" ht="13" customHeight="1" s="51">
      <c r="E778" s="16" t="n"/>
    </row>
    <row r="779" ht="13" customHeight="1" s="51">
      <c r="E779" s="16" t="n"/>
    </row>
    <row r="780" ht="13" customHeight="1" s="51">
      <c r="E780" s="16" t="n"/>
    </row>
    <row r="781" ht="13" customHeight="1" s="51">
      <c r="E781" s="16" t="n"/>
    </row>
    <row r="782" ht="13" customHeight="1" s="51">
      <c r="E782" s="16" t="n"/>
    </row>
    <row r="783" ht="13" customHeight="1" s="51">
      <c r="E783" s="16" t="n"/>
    </row>
    <row r="784" ht="13" customHeight="1" s="51">
      <c r="E784" s="16" t="n"/>
    </row>
    <row r="785" ht="13" customHeight="1" s="51">
      <c r="E785" s="16" t="n"/>
    </row>
    <row r="786" ht="13" customHeight="1" s="51">
      <c r="E786" s="16" t="n"/>
    </row>
    <row r="787" ht="13" customHeight="1" s="51">
      <c r="E787" s="16" t="n"/>
    </row>
    <row r="788" ht="13" customHeight="1" s="51">
      <c r="E788" s="16" t="n"/>
    </row>
    <row r="789" ht="13" customHeight="1" s="51">
      <c r="E789" s="16" t="n"/>
    </row>
    <row r="790" ht="13" customHeight="1" s="51">
      <c r="E790" s="16" t="n"/>
    </row>
    <row r="791" ht="13" customHeight="1" s="51">
      <c r="E791" s="16" t="n"/>
    </row>
    <row r="792" ht="13" customHeight="1" s="51">
      <c r="E792" s="16" t="n"/>
    </row>
    <row r="793" ht="13" customHeight="1" s="51">
      <c r="E793" s="16" t="n"/>
    </row>
    <row r="794" ht="13" customHeight="1" s="51">
      <c r="E794" s="16" t="n"/>
    </row>
    <row r="795" ht="13" customHeight="1" s="51">
      <c r="E795" s="16" t="n"/>
    </row>
    <row r="796" ht="13" customHeight="1" s="51">
      <c r="E796" s="16" t="n"/>
    </row>
    <row r="797" ht="13" customHeight="1" s="51">
      <c r="E797" s="16" t="n"/>
    </row>
    <row r="798" ht="13" customHeight="1" s="51">
      <c r="E798" s="16" t="n"/>
    </row>
    <row r="799" ht="13" customHeight="1" s="51">
      <c r="E799" s="16" t="n"/>
    </row>
    <row r="800" ht="13" customHeight="1" s="51">
      <c r="E800" s="16" t="n"/>
    </row>
    <row r="801" ht="13" customHeight="1" s="51">
      <c r="E801" s="16" t="n"/>
    </row>
    <row r="802" ht="13" customHeight="1" s="51">
      <c r="E802" s="16" t="n"/>
    </row>
    <row r="803" ht="13" customHeight="1" s="51">
      <c r="E803" s="16" t="n"/>
    </row>
    <row r="804" ht="13" customHeight="1" s="51">
      <c r="E804" s="16" t="n"/>
    </row>
    <row r="805" ht="13" customHeight="1" s="51">
      <c r="E805" s="16" t="n"/>
    </row>
    <row r="806" ht="13" customHeight="1" s="51">
      <c r="E806" s="16" t="n"/>
    </row>
    <row r="807" ht="13" customHeight="1" s="51">
      <c r="E807" s="16" t="n"/>
    </row>
    <row r="808" ht="13" customHeight="1" s="51">
      <c r="E808" s="16" t="n"/>
    </row>
    <row r="809" ht="13" customHeight="1" s="51">
      <c r="E809" s="16" t="n"/>
    </row>
    <row r="810" ht="13" customHeight="1" s="51">
      <c r="E810" s="16" t="n"/>
    </row>
    <row r="811" ht="13" customHeight="1" s="51">
      <c r="E811" s="16" t="n"/>
    </row>
    <row r="812" ht="13" customHeight="1" s="51">
      <c r="E812" s="16" t="n"/>
    </row>
    <row r="813" ht="13" customHeight="1" s="51">
      <c r="E813" s="16" t="n"/>
    </row>
    <row r="814" ht="13" customHeight="1" s="51">
      <c r="E814" s="16" t="n"/>
    </row>
    <row r="815" ht="13" customHeight="1" s="51">
      <c r="E815" s="16" t="n"/>
    </row>
    <row r="816" ht="13" customHeight="1" s="51">
      <c r="E816" s="16" t="n"/>
    </row>
    <row r="817" ht="13" customHeight="1" s="51">
      <c r="E817" s="16" t="n"/>
    </row>
  </sheetData>
  <mergeCells count="17">
    <mergeCell ref="C23:C28"/>
    <mergeCell ref="C79:C84"/>
    <mergeCell ref="C71:C76"/>
    <mergeCell ref="C119:C124"/>
    <mergeCell ref="C111:C116"/>
    <mergeCell ref="C127:C132"/>
    <mergeCell ref="C135:C140"/>
    <mergeCell ref="C47:C52"/>
    <mergeCell ref="C39:C44"/>
    <mergeCell ref="C31:C36"/>
    <mergeCell ref="C15:C20"/>
    <mergeCell ref="C63:C68"/>
    <mergeCell ref="C6:C11"/>
    <mergeCell ref="C95:C100"/>
    <mergeCell ref="C87:C92"/>
    <mergeCell ref="C55:C60"/>
    <mergeCell ref="C103:C10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I89"/>
  <sheetViews>
    <sheetView workbookViewId="0">
      <selection activeCell="D13" sqref="D13:H13"/>
    </sheetView>
  </sheetViews>
  <sheetFormatPr baseColWidth="10" defaultColWidth="12.6640625" defaultRowHeight="15.75" customHeight="1"/>
  <cols>
    <col width="24.1640625" customWidth="1" style="51" min="1" max="1"/>
    <col width="38.6640625" customWidth="1" style="51" min="2" max="2"/>
    <col width="67.1640625" customWidth="1" style="51" min="3" max="3"/>
    <col width="67" customWidth="1" style="51" min="4" max="4"/>
    <col width="12.6640625" customWidth="1" style="51" min="5" max="5"/>
    <col width="19.6640625" customWidth="1" style="51" min="6" max="6"/>
    <col width="15" bestFit="1" customWidth="1" style="18" min="7" max="7"/>
    <col width="15.5" customWidth="1" style="26" min="8" max="8"/>
    <col width="50" customWidth="1" style="51" min="9" max="9"/>
  </cols>
  <sheetData>
    <row r="1" ht="26" customHeight="1" s="51">
      <c r="A1" s="1" t="inlineStr">
        <is>
          <t>Narzędzia AI SDLC z przekazaniem Know-How</t>
        </is>
      </c>
      <c r="B1" s="2" t="n"/>
      <c r="C1" s="3" t="n"/>
      <c r="D1" s="3" t="n"/>
      <c r="E1" s="3" t="n"/>
      <c r="F1" s="3" t="n"/>
      <c r="G1" s="16" t="n"/>
    </row>
    <row r="2" ht="15" customHeight="1" s="51">
      <c r="A2" s="4" t="n"/>
      <c r="B2" s="5" t="n"/>
      <c r="C2" s="3" t="n"/>
      <c r="D2" s="3" t="n"/>
      <c r="E2" s="3" t="n"/>
      <c r="F2" s="3" t="n"/>
      <c r="G2" s="16" t="n"/>
    </row>
    <row r="3" ht="15" customHeight="1" s="51">
      <c r="A3" s="3" t="n"/>
      <c r="B3" s="3" t="n"/>
      <c r="C3" s="3" t="n"/>
      <c r="D3" s="3" t="n"/>
      <c r="E3" s="3" t="n"/>
      <c r="F3" s="3" t="n"/>
      <c r="G3" s="16" t="n"/>
    </row>
    <row r="4" ht="15" customHeight="1" s="51">
      <c r="A4" s="6" t="inlineStr">
        <is>
          <t>Kod</t>
        </is>
      </c>
      <c r="B4" s="6" t="inlineStr">
        <is>
          <t>Obszar</t>
        </is>
      </c>
      <c r="C4" s="6" t="inlineStr">
        <is>
          <t>Tytul / opis</t>
        </is>
      </c>
      <c r="D4" s="6" t="inlineStr">
        <is>
          <t>Pozycja kosztowa</t>
        </is>
      </c>
      <c r="E4" s="6" t="n"/>
      <c r="F4" s="6" t="inlineStr">
        <is>
          <t>Typ do podsumowania</t>
        </is>
      </c>
      <c r="G4" s="6" t="inlineStr">
        <is>
          <t>Cena netto [PLN]</t>
        </is>
      </c>
      <c r="H4" s="27" t="inlineStr">
        <is>
          <t>Suma</t>
        </is>
      </c>
      <c r="I4" s="73" t="inlineStr">
        <is>
          <t>Value proposition</t>
        </is>
      </c>
    </row>
    <row r="5" ht="34" customHeight="1" s="51">
      <c r="A5" s="7" t="inlineStr">
        <is>
          <t>RE.1</t>
        </is>
      </c>
      <c r="B5" s="7" t="inlineStr">
        <is>
          <t>Know-how i rekomendacje</t>
        </is>
      </c>
      <c r="C5" s="8" t="inlineStr">
        <is>
          <t>RE.1 - Rekomendacje odnośnie narzędzi AI (korzystających z dostępnych subskrypcji Github Copilot, Codex, Copilot 360), z uwzględnieniem pracy człowieka z AI oraz integracji AI z CI.</t>
        </is>
      </c>
      <c r="D5" s="7" t="inlineStr">
        <is>
          <t>Sekcja</t>
        </is>
      </c>
      <c r="E5" s="3" t="n"/>
      <c r="F5" s="3" t="n"/>
      <c r="G5" s="16" t="n"/>
      <c r="I5" s="74" t="inlineStr">
        <is>
          <t>Rekomendacje narzędzi AI dopasowane do istniejących subskrypcji i infrastruktury.</t>
        </is>
      </c>
    </row>
    <row r="6" ht="15" customHeight="1" s="51">
      <c r="A6" s="3" t="n"/>
      <c r="B6" s="3" t="n"/>
      <c r="C6" s="55" t="n"/>
      <c r="D6" s="3" t="inlineStr">
        <is>
          <t>Przekazanie Rekomendacji</t>
        </is>
      </c>
      <c r="E6" s="9" t="n"/>
      <c r="F6" s="3" t="inlineStr">
        <is>
          <t>knowhow</t>
        </is>
      </c>
      <c r="G6" s="16" t="n">
        <v>2500</v>
      </c>
      <c r="H6" s="28" t="n"/>
    </row>
    <row r="7" ht="34" customHeight="1" s="51">
      <c r="A7" s="7" t="inlineStr">
        <is>
          <t>IK.1</t>
        </is>
      </c>
      <c r="B7" s="7" t="inlineStr">
        <is>
          <t>IK (Internal Knowledge)</t>
        </is>
      </c>
      <c r="C7" s="8" t="inlineStr">
        <is>
          <t>IK.1 - Skonsolidowana dokumentacja funkcji systemu (aktualnych wersji) dla AI</t>
        </is>
      </c>
      <c r="D7" s="7" t="inlineStr">
        <is>
          <t>Sekcja</t>
        </is>
      </c>
      <c r="E7" s="3" t="n"/>
      <c r="F7" s="3" t="n"/>
      <c r="G7" s="16" t="n"/>
      <c r="H7" s="28" t="n"/>
      <c r="I7" s="74" t="inlineStr">
        <is>
          <t>Narzędzie do konsolidacji dokumentacji funkcji systemu dla AI.</t>
        </is>
      </c>
    </row>
    <row r="8" ht="16" customHeight="1" s="51">
      <c r="A8" s="3" t="n"/>
      <c r="B8" s="3" t="n"/>
      <c r="D8" s="3" t="inlineStr">
        <is>
          <t>Przekazanie narzedzi</t>
        </is>
      </c>
      <c r="E8" s="9" t="n"/>
      <c r="F8" s="3" t="inlineStr">
        <is>
          <t>narzedzia</t>
        </is>
      </c>
      <c r="G8" s="16" t="n">
        <v>750</v>
      </c>
      <c r="H8" s="28" t="n"/>
    </row>
    <row r="9" ht="34" customHeight="1" s="51">
      <c r="A9" s="7" t="inlineStr">
        <is>
          <t>IK.2</t>
        </is>
      </c>
      <c r="B9" s="7" t="inlineStr">
        <is>
          <t>IK (Internal Knowledge)</t>
        </is>
      </c>
      <c r="C9" s="8" t="inlineStr">
        <is>
          <t>IK.2 - Baza wiedzy mapująca funkcjonalność na kod / architekturę (funkcjonalność -&gt; UI -&gt; Beans -&gt; baza danych)</t>
        </is>
      </c>
      <c r="D9" s="7" t="inlineStr">
        <is>
          <t>Sekcja</t>
        </is>
      </c>
      <c r="E9" s="3" t="n"/>
      <c r="F9" s="3" t="n"/>
      <c r="G9" s="16" t="n"/>
      <c r="H9" s="28" t="n"/>
      <c r="I9" s="74" t="inlineStr">
        <is>
          <t>Narzędzie mapowania funkcjonalności na kod i architekturę.</t>
        </is>
      </c>
    </row>
    <row r="10" ht="15" customHeight="1" s="51">
      <c r="A10" s="3" t="n"/>
      <c r="B10" s="3" t="n"/>
      <c r="D10" s="3" t="inlineStr">
        <is>
          <t>Przekazanie narzedzi</t>
        </is>
      </c>
      <c r="E10" s="9" t="n"/>
      <c r="F10" s="3" t="inlineStr">
        <is>
          <t>narzedzia</t>
        </is>
      </c>
      <c r="G10" s="16" t="n">
        <v>750</v>
      </c>
      <c r="H10" s="28" t="n"/>
    </row>
    <row r="11" ht="34" customHeight="1" s="51">
      <c r="A11" s="7" t="inlineStr">
        <is>
          <t>IK.3</t>
        </is>
      </c>
      <c r="B11" s="7" t="inlineStr">
        <is>
          <t>IK (Internal Knowledge)</t>
        </is>
      </c>
      <c r="C11" s="8" t="inlineStr">
        <is>
          <t>IK.3 - Heurystyczne szacowanie pracochłonności (w oparciu o wartości eksperckie)</t>
        </is>
      </c>
      <c r="D11" s="7" t="inlineStr">
        <is>
          <t>Sekcja</t>
        </is>
      </c>
      <c r="E11" s="3" t="n"/>
      <c r="F11" s="3" t="n"/>
      <c r="G11" s="16" t="n"/>
      <c r="H11" s="28" t="n"/>
      <c r="I11" s="74" t="inlineStr">
        <is>
          <t>Narzędzie heurystycznego szacowania pracochłonności.</t>
        </is>
      </c>
    </row>
    <row r="12" ht="15" customHeight="1" s="51">
      <c r="A12" s="3" t="n"/>
      <c r="B12" s="3" t="n"/>
      <c r="D12" s="3" t="inlineStr">
        <is>
          <t>Przekazanie narzedzi</t>
        </is>
      </c>
      <c r="E12" s="9" t="n"/>
      <c r="F12" s="3" t="inlineStr">
        <is>
          <t>narzedzia</t>
        </is>
      </c>
      <c r="G12" s="16" t="n">
        <v>300</v>
      </c>
      <c r="H12" s="28" t="n"/>
    </row>
    <row r="13" ht="34" customHeight="1" s="51">
      <c r="A13" s="7" t="inlineStr">
        <is>
          <t>IK.4</t>
        </is>
      </c>
      <c r="B13" s="7" t="inlineStr">
        <is>
          <t>IK (Internal Knowledge)</t>
        </is>
      </c>
      <c r="C13" s="8" t="inlineStr">
        <is>
          <t>IK.4 - Skonsolidowana dokumentacja architektury frontendu optymalna dla AI</t>
        </is>
      </c>
      <c r="D13" s="7" t="inlineStr">
        <is>
          <t>Sekcja</t>
        </is>
      </c>
      <c r="E13" s="3" t="n"/>
      <c r="F13" s="3" t="n"/>
      <c r="G13" s="16" t="n"/>
      <c r="H13" s="28" t="n"/>
      <c r="I13" s="74" t="inlineStr">
        <is>
          <t>Narzędzie dokumentacji architektury frontendu dla AI.</t>
        </is>
      </c>
    </row>
    <row r="14" ht="18" customHeight="1" s="51">
      <c r="A14" s="3" t="n"/>
      <c r="B14" s="3" t="n"/>
      <c r="D14" s="3" t="inlineStr">
        <is>
          <t>Przekazanie narzedzi</t>
        </is>
      </c>
      <c r="E14" s="9" t="n"/>
      <c r="F14" s="3" t="inlineStr">
        <is>
          <t>narzedzia</t>
        </is>
      </c>
      <c r="G14" s="16" t="n">
        <v>1250</v>
      </c>
      <c r="H14" s="28" t="n"/>
    </row>
    <row r="15" ht="34" customHeight="1" s="51">
      <c r="A15" s="7" t="inlineStr">
        <is>
          <t>IK.5</t>
        </is>
      </c>
      <c r="B15" s="7" t="inlineStr">
        <is>
          <t>IK (Internal Knowledge)</t>
        </is>
      </c>
      <c r="C15" s="8" t="inlineStr">
        <is>
          <t>IK.5 - Skonsolidowana dokumentacja architektury backendu optymalna dla AI</t>
        </is>
      </c>
      <c r="D15" s="7" t="inlineStr">
        <is>
          <t>Sekcja</t>
        </is>
      </c>
      <c r="E15" s="3" t="n"/>
      <c r="F15" s="3" t="n"/>
      <c r="G15" s="16" t="n"/>
      <c r="H15" s="28" t="n"/>
      <c r="I15" s="74" t="inlineStr">
        <is>
          <t>Narzędzie dokumentacji architektury backendu dla AI.</t>
        </is>
      </c>
    </row>
    <row r="16" ht="13" customHeight="1" s="51">
      <c r="A16" s="3" t="n"/>
      <c r="B16" s="3" t="n"/>
      <c r="D16" s="3" t="inlineStr">
        <is>
          <t>Przekazanie narzedzi</t>
        </is>
      </c>
      <c r="E16" s="9" t="n"/>
      <c r="F16" s="3" t="inlineStr">
        <is>
          <t>narzedzia</t>
        </is>
      </c>
      <c r="G16" s="25" t="n">
        <v>1250</v>
      </c>
      <c r="H16" s="28" t="n"/>
    </row>
    <row r="17" ht="20" customHeight="1" s="51">
      <c r="A17" s="7" t="inlineStr">
        <is>
          <t>IK.7</t>
        </is>
      </c>
      <c r="B17" s="7" t="inlineStr">
        <is>
          <t>IK (Internal Knowledge)</t>
        </is>
      </c>
      <c r="C17" s="8" t="inlineStr">
        <is>
          <t>IK.7 - Implementacja obecnie brakujących scenariuszy e2e (pracochłonne dla wszystkich)</t>
        </is>
      </c>
      <c r="D17" s="7" t="inlineStr">
        <is>
          <t>Sekcja</t>
        </is>
      </c>
      <c r="E17" s="3" t="n"/>
      <c r="F17" s="3" t="n"/>
      <c r="G17" s="16" t="n"/>
      <c r="H17" s="28" t="n"/>
      <c r="I17" s="74" t="inlineStr">
        <is>
          <t>Narzędzie implementacji scenariuszy e2e.</t>
        </is>
      </c>
    </row>
    <row r="18" ht="15" customHeight="1" s="51">
      <c r="A18" s="3" t="n"/>
      <c r="B18" s="3" t="n"/>
      <c r="D18" s="3" t="inlineStr">
        <is>
          <t>Przekazanie narzedzi</t>
        </is>
      </c>
      <c r="E18" s="9" t="n"/>
      <c r="F18" s="3" t="inlineStr">
        <is>
          <t>narzedzia</t>
        </is>
      </c>
      <c r="G18" s="16" t="n">
        <v>0</v>
      </c>
      <c r="H18" s="28" t="n"/>
    </row>
    <row r="19" ht="34" customHeight="1" s="51">
      <c r="A19" s="7" t="inlineStr">
        <is>
          <t>EK.1</t>
        </is>
      </c>
      <c r="B19" s="7" t="inlineStr">
        <is>
          <t>EK (External Knowledge)</t>
        </is>
      </c>
      <c r="C19" s="8" t="inlineStr">
        <is>
          <t>EK.1 - Instrukcje AI dla pracy ze źródłami regulatorów: KNF / UE</t>
        </is>
      </c>
      <c r="D19" s="7" t="inlineStr">
        <is>
          <t>Sekcja</t>
        </is>
      </c>
      <c r="E19" s="3" t="n"/>
      <c r="F19" s="3" t="n"/>
      <c r="G19" s="16" t="n"/>
      <c r="H19" s="28" t="n"/>
      <c r="I19" s="74" t="inlineStr">
        <is>
          <t>Narzędzie AI do pracy ze źródłami regulatorów KNF/UE.</t>
        </is>
      </c>
    </row>
    <row r="20" ht="15" customHeight="1" s="51">
      <c r="A20" s="3" t="n"/>
      <c r="B20" s="3" t="n"/>
      <c r="D20" s="3" t="inlineStr">
        <is>
          <t>Przekazanie narzedzi</t>
        </is>
      </c>
      <c r="E20" s="9" t="n"/>
      <c r="F20" s="3" t="inlineStr">
        <is>
          <t>narzedzia</t>
        </is>
      </c>
      <c r="G20" s="16" t="n">
        <v>0</v>
      </c>
      <c r="H20" s="28" t="n"/>
    </row>
    <row r="21" ht="20" customHeight="1" s="51">
      <c r="A21" s="7" t="inlineStr">
        <is>
          <t>TL.1</t>
        </is>
      </c>
      <c r="B21" s="7" t="inlineStr">
        <is>
          <t>Analiza</t>
        </is>
      </c>
      <c r="C21" s="8" t="inlineStr">
        <is>
          <t>TL.1 - Przygotowanie narzędzi dla AI dedykowanych dla Analityków (UI z dostępem do baz wiedzy i tooli, podobnie jak dla developerów)</t>
        </is>
      </c>
      <c r="D21" s="7" t="inlineStr">
        <is>
          <t>Sekcja</t>
        </is>
      </c>
      <c r="E21" s="3" t="n"/>
      <c r="F21" s="3" t="n"/>
      <c r="G21" s="16" t="n"/>
      <c r="H21" s="28" t="n"/>
      <c r="I21" s="74" t="inlineStr">
        <is>
          <t>Środowisko AI dla analityków.</t>
        </is>
      </c>
    </row>
    <row r="22" ht="15" customHeight="1" s="51">
      <c r="A22" s="3" t="n"/>
      <c r="B22" s="3" t="n"/>
      <c r="D22" s="3" t="inlineStr">
        <is>
          <t>Przekazanie narzedzi</t>
        </is>
      </c>
      <c r="E22" s="9" t="n"/>
      <c r="F22" s="3" t="inlineStr">
        <is>
          <t>narzedzia</t>
        </is>
      </c>
      <c r="G22" s="16" t="n">
        <v>2500</v>
      </c>
      <c r="H22" s="28" t="n"/>
    </row>
    <row r="23" ht="20" customHeight="1" s="51">
      <c r="A23" s="7" t="inlineStr">
        <is>
          <t>TL.2</t>
        </is>
      </c>
      <c r="B23" s="7" t="inlineStr">
        <is>
          <t>Analiza</t>
        </is>
      </c>
      <c r="C23" s="8" t="inlineStr">
        <is>
          <t>TL.2 - Instrukcje AI do Review Analizy (Gap analysis / Spike Analysis, brakujące elementy, zasady jakościowe, definition of ready)</t>
        </is>
      </c>
      <c r="D23" s="7" t="inlineStr">
        <is>
          <t>Sekcja</t>
        </is>
      </c>
      <c r="E23" s="3" t="n"/>
      <c r="F23" s="3" t="n"/>
      <c r="G23" s="16" t="n"/>
      <c r="H23" s="28" t="n"/>
      <c r="I23" s="74" t="inlineStr">
        <is>
          <t>Instrukcje AI do gap analysis i spike analysis.</t>
        </is>
      </c>
    </row>
    <row r="24" ht="16" customHeight="1" s="51">
      <c r="A24" s="3" t="n"/>
      <c r="B24" s="3" t="n"/>
      <c r="D24" s="3" t="inlineStr">
        <is>
          <t>Przekazanie narzedzi</t>
        </is>
      </c>
      <c r="E24" s="9" t="n"/>
      <c r="F24" s="3" t="inlineStr">
        <is>
          <t>narzedzia</t>
        </is>
      </c>
      <c r="G24" s="16" t="n">
        <v>1250</v>
      </c>
      <c r="H24" s="28" t="n"/>
    </row>
    <row r="25" ht="20" customHeight="1" s="51">
      <c r="A25" s="7" t="inlineStr">
        <is>
          <t>TL.2.1</t>
        </is>
      </c>
      <c r="B25" s="7" t="inlineStr">
        <is>
          <t>Analiza</t>
        </is>
      </c>
      <c r="C25" s="8" t="inlineStr">
        <is>
          <t>TL.2.1 - Instrukcje AI do Review Analizy vs. źródłami regulatorów: KNF / UE (przyśpiesza, nie zwalnia analityka z odpowiedzialności)</t>
        </is>
      </c>
      <c r="D25" s="7" t="inlineStr">
        <is>
          <t>Sekcja</t>
        </is>
      </c>
      <c r="E25" s="3" t="n"/>
      <c r="F25" s="3" t="n"/>
      <c r="G25" s="16" t="n"/>
      <c r="H25" s="28" t="n"/>
      <c r="I25" s="74" t="inlineStr">
        <is>
          <t>Instrukcje AI do review analizy vs KNF/UE.</t>
        </is>
      </c>
    </row>
    <row r="26" ht="15" customHeight="1" s="51">
      <c r="A26" s="3" t="n"/>
      <c r="B26" s="3" t="n"/>
      <c r="D26" s="3" t="inlineStr">
        <is>
          <t>Przekazanie narzedzi</t>
        </is>
      </c>
      <c r="E26" s="9" t="n"/>
      <c r="F26" s="3" t="inlineStr">
        <is>
          <t>narzedzia</t>
        </is>
      </c>
      <c r="G26" s="16" t="n">
        <v>0</v>
      </c>
      <c r="H26" s="28" t="n"/>
    </row>
    <row r="27" ht="20" customHeight="1" s="51">
      <c r="A27" s="7" t="inlineStr">
        <is>
          <t>TL.3</t>
        </is>
      </c>
      <c r="B27" s="7" t="inlineStr">
        <is>
          <t>Analiza</t>
        </is>
      </c>
      <c r="C27" s="8" t="inlineStr">
        <is>
          <t>TL.3 - Instrukcje AI do generowania wstępnych diagramów BPMN / UML (edytowalnych, bez integracji z Enterprise Architect)</t>
        </is>
      </c>
      <c r="D27" s="7" t="inlineStr">
        <is>
          <t>Sekcja</t>
        </is>
      </c>
      <c r="E27" s="3" t="n"/>
      <c r="F27" s="3" t="n"/>
      <c r="G27" s="16" t="n"/>
      <c r="H27" s="28" t="n"/>
      <c r="I27" s="74" t="inlineStr">
        <is>
          <t>Generowanie diagramów BPMN/UML z AI.</t>
        </is>
      </c>
    </row>
    <row r="28" ht="15" customHeight="1" s="51">
      <c r="A28" s="3" t="n"/>
      <c r="B28" s="3" t="n"/>
      <c r="D28" s="3" t="inlineStr">
        <is>
          <t>Przekazanie narzedzi</t>
        </is>
      </c>
      <c r="E28" s="9" t="n"/>
      <c r="F28" s="3" t="inlineStr">
        <is>
          <t>narzedzia</t>
        </is>
      </c>
      <c r="G28" s="16" t="n">
        <v>1000</v>
      </c>
      <c r="H28" s="28" t="n"/>
    </row>
    <row r="29" ht="20" customHeight="1" s="51">
      <c r="A29" s="7" t="inlineStr">
        <is>
          <t>TL.4</t>
        </is>
      </c>
      <c r="B29" s="7" t="inlineStr">
        <is>
          <t>Analiza</t>
        </is>
      </c>
      <c r="C29" s="8" t="inlineStr">
        <is>
          <t>TL.4 - Instrukcje/narzędzia dla AI do generowania wstępnego (low fidelity) UI / UX. (bez integracji z Enterprise Architect)</t>
        </is>
      </c>
      <c r="D29" s="7" t="inlineStr">
        <is>
          <t>Sekcja</t>
        </is>
      </c>
      <c r="E29" s="3" t="n"/>
      <c r="F29" s="3" t="n"/>
      <c r="G29" s="16" t="n"/>
      <c r="H29" s="28" t="n"/>
      <c r="I29" s="74" t="inlineStr">
        <is>
          <t>Generowanie UI/UX low fidelity z AI.</t>
        </is>
      </c>
    </row>
    <row r="30" ht="15" customHeight="1" s="51">
      <c r="A30" s="3" t="n"/>
      <c r="B30" s="3" t="n"/>
      <c r="D30" s="3" t="inlineStr">
        <is>
          <t>Przekazanie narzedzi</t>
        </is>
      </c>
      <c r="E30" s="9" t="n"/>
      <c r="F30" s="3" t="inlineStr">
        <is>
          <t>narzedzia</t>
        </is>
      </c>
      <c r="G30" s="16" t="n">
        <v>1250</v>
      </c>
      <c r="H30" s="28" t="n"/>
    </row>
    <row r="31" ht="20" customHeight="1" s="51">
      <c r="A31" s="7" t="inlineStr">
        <is>
          <t>TL.5</t>
        </is>
      </c>
      <c r="B31" s="7" t="inlineStr">
        <is>
          <t>Analiza</t>
        </is>
      </c>
      <c r="C31" s="8" t="inlineStr">
        <is>
          <t>TL.5 - Instrukcja dla AI proponowania scenariuszy w oparciu o analizę (ui, validacje, reguły, przykłady danych) (forma dla człowieka)</t>
        </is>
      </c>
      <c r="D31" s="7" t="inlineStr">
        <is>
          <t>Sekcja</t>
        </is>
      </c>
      <c r="E31" s="3" t="n"/>
      <c r="F31" s="3" t="n"/>
      <c r="G31" s="16" t="n"/>
      <c r="H31" s="28" t="n"/>
      <c r="I31" s="74" t="inlineStr">
        <is>
          <t>AI proponuje scenariusze testowe z analizy.</t>
        </is>
      </c>
    </row>
    <row r="32" ht="16" customHeight="1" s="51">
      <c r="A32" s="3" t="n"/>
      <c r="B32" s="3" t="n"/>
      <c r="D32" s="3" t="inlineStr">
        <is>
          <t>Przekazanie narzedzi</t>
        </is>
      </c>
      <c r="E32" s="9" t="n"/>
      <c r="F32" s="3" t="inlineStr">
        <is>
          <t>narzedzia</t>
        </is>
      </c>
      <c r="G32" s="16" t="n">
        <v>1250</v>
      </c>
      <c r="H32" s="28" t="n"/>
    </row>
    <row r="33" ht="20" customHeight="1" s="51">
      <c r="A33" s="7" t="inlineStr">
        <is>
          <t>TL.29</t>
        </is>
      </c>
      <c r="B33" s="7" t="inlineStr">
        <is>
          <t>Analiza</t>
        </is>
      </c>
      <c r="C33" s="8" t="inlineStr">
        <is>
          <t>TL.29 - Integracja z Enterprise Architect (XMI export lub baza sqlserver lub Sparx Pro Cloud Service)</t>
        </is>
      </c>
      <c r="D33" s="7" t="inlineStr">
        <is>
          <t>Sekcja</t>
        </is>
      </c>
      <c r="E33" s="3" t="n"/>
      <c r="F33" s="3" t="n"/>
      <c r="G33" s="16" t="n"/>
      <c r="H33" s="28" t="n"/>
      <c r="I33" s="74" t="inlineStr">
        <is>
          <t>Integracja z Enterprise Architect.</t>
        </is>
      </c>
    </row>
    <row r="34" ht="15" customHeight="1" s="51">
      <c r="A34" s="3" t="n"/>
      <c r="B34" s="3" t="n"/>
      <c r="D34" s="3" t="inlineStr">
        <is>
          <t>Przekazanie narzedzi</t>
        </is>
      </c>
      <c r="E34" s="9" t="n"/>
      <c r="F34" s="3" t="inlineStr">
        <is>
          <t>narzedzia</t>
        </is>
      </c>
      <c r="G34" s="16" t="n">
        <v>2000</v>
      </c>
      <c r="H34" s="28" t="n"/>
    </row>
    <row r="35" ht="20" customHeight="1" s="51">
      <c r="A35" s="7" t="inlineStr">
        <is>
          <t>TL.30</t>
        </is>
      </c>
      <c r="B35" s="7" t="inlineStr">
        <is>
          <t>Analiza</t>
        </is>
      </c>
      <c r="C35" s="8" t="inlineStr">
        <is>
          <t>TL.30 - Sformułowanie zmian w Projekcie (dokumentacja analityczna) w speckę dla AI</t>
        </is>
      </c>
      <c r="D35" s="7" t="inlineStr">
        <is>
          <t>Sekcja</t>
        </is>
      </c>
      <c r="E35" s="3" t="n"/>
      <c r="F35" s="3" t="n"/>
      <c r="G35" s="16" t="n"/>
      <c r="H35" s="28" t="n"/>
      <c r="I35" s="74" t="inlineStr">
        <is>
          <t>Formatowanie specyfikacji dla AI.</t>
        </is>
      </c>
    </row>
    <row r="36" ht="15" customHeight="1" s="51">
      <c r="A36" s="3" t="n"/>
      <c r="B36" s="3" t="n"/>
      <c r="D36" s="3" t="inlineStr">
        <is>
          <t>Przekazanie narzedzi</t>
        </is>
      </c>
      <c r="E36" s="9" t="n"/>
      <c r="F36" s="3" t="inlineStr">
        <is>
          <t>narzedzia</t>
        </is>
      </c>
      <c r="G36" s="16" t="n"/>
      <c r="H36" s="28" t="n"/>
    </row>
    <row r="37" ht="15" customHeight="1" s="51">
      <c r="A37" s="7" t="inlineStr">
        <is>
          <t>TL.6 [Development]</t>
        </is>
      </c>
      <c r="B37" s="7" t="inlineStr">
        <is>
          <t>Development</t>
        </is>
      </c>
      <c r="C37" s="8" t="inlineStr">
        <is>
          <t>TL.6 [Development] - Reverse Engineering mapowania funkcjonalność na kod / architekturę (funkcjonalność -&gt; UI -&gt; Beans -&gt; baza danych)</t>
        </is>
      </c>
      <c r="D37" s="7" t="inlineStr">
        <is>
          <t>Sekcja</t>
        </is>
      </c>
      <c r="E37" s="3" t="n"/>
      <c r="F37" s="3" t="n"/>
      <c r="G37" s="16" t="n"/>
      <c r="H37" s="28" t="n"/>
    </row>
    <row r="38" ht="15" customHeight="1" s="51">
      <c r="A38" s="3" t="n"/>
      <c r="B38" s="3" t="n"/>
      <c r="D38" s="3" t="inlineStr">
        <is>
          <t>Przekazanie narzedzi</t>
        </is>
      </c>
      <c r="E38" s="9" t="n"/>
      <c r="F38" s="3" t="inlineStr">
        <is>
          <t>narzedzia</t>
        </is>
      </c>
      <c r="G38" s="16" t="n">
        <v>1800</v>
      </c>
      <c r="H38" s="28" t="n"/>
    </row>
    <row r="39" ht="20" customHeight="1" s="51">
      <c r="A39" s="7" t="inlineStr">
        <is>
          <t>TL.9</t>
        </is>
      </c>
      <c r="B39" s="7" t="inlineStr">
        <is>
          <t>Development</t>
        </is>
      </c>
      <c r="C39" s="8" t="inlineStr">
        <is>
          <t>TL.9 - Integracja AI z bazą oracle (readonly), analiza modelu, odpytywanie o przykładowe dane (dowolne dopuszczone środowisko np: testowe)</t>
        </is>
      </c>
      <c r="D39" s="7" t="inlineStr">
        <is>
          <t>Sekcja</t>
        </is>
      </c>
      <c r="E39" s="3" t="n"/>
      <c r="F39" s="3" t="n"/>
      <c r="G39" s="16" t="n"/>
      <c r="H39" s="28" t="n"/>
      <c r="I39" s="74" t="inlineStr">
        <is>
          <t>AI odpyta bazę Oracle (readonly).</t>
        </is>
      </c>
    </row>
    <row r="40" ht="16" customHeight="1" s="51">
      <c r="A40" s="3" t="n"/>
      <c r="B40" s="3" t="n"/>
      <c r="D40" s="3" t="inlineStr">
        <is>
          <t>Przekazanie narzedzi</t>
        </is>
      </c>
      <c r="E40" s="9" t="n"/>
      <c r="F40" s="3" t="inlineStr">
        <is>
          <t>narzedzia</t>
        </is>
      </c>
      <c r="G40" s="16" t="n">
        <v>800</v>
      </c>
      <c r="H40" s="28" t="n"/>
    </row>
    <row r="41" ht="20" customHeight="1" s="51">
      <c r="A41" s="7" t="inlineStr">
        <is>
          <t>TL.10</t>
        </is>
      </c>
      <c r="B41" s="7" t="inlineStr">
        <is>
          <t>Development</t>
        </is>
      </c>
      <c r="C41" s="8" t="inlineStr">
        <is>
          <t>TL.10 - Reverse Engineering zasad architektonicznych</t>
        </is>
      </c>
      <c r="D41" s="7" t="inlineStr">
        <is>
          <t>Sekcja</t>
        </is>
      </c>
      <c r="E41" s="3" t="n"/>
      <c r="F41" s="3" t="n"/>
      <c r="G41" s="16" t="n"/>
      <c r="H41" s="28" t="n"/>
      <c r="I41" s="74" t="inlineStr">
        <is>
          <t>Reverse engineering zasad architektonicznych.</t>
        </is>
      </c>
    </row>
    <row r="42" ht="15" customHeight="1" s="51">
      <c r="A42" s="3" t="n"/>
      <c r="B42" s="3" t="n"/>
      <c r="D42" s="3" t="inlineStr">
        <is>
          <t>Przekazanie narzedzi</t>
        </is>
      </c>
      <c r="E42" s="9" t="n"/>
      <c r="F42" s="3" t="inlineStr">
        <is>
          <t>narzedzia</t>
        </is>
      </c>
      <c r="G42" s="16" t="n">
        <v>1800</v>
      </c>
      <c r="H42" s="28" t="n"/>
    </row>
    <row r="43" ht="20" customHeight="1" s="51">
      <c r="A43" s="7" t="inlineStr">
        <is>
          <t>TL.13</t>
        </is>
      </c>
      <c r="B43" s="7" t="inlineStr">
        <is>
          <t>Development</t>
        </is>
      </c>
      <c r="C43" s="8" t="inlineStr">
        <is>
          <t>TL.13 - AI może robić hot swap kodu / uruchomienie / re deploy + wgląd w logi (tak jak dziś developer)</t>
        </is>
      </c>
      <c r="D43" s="7" t="inlineStr">
        <is>
          <t>Sekcja</t>
        </is>
      </c>
      <c r="E43" s="3" t="n"/>
      <c r="F43" s="3" t="n"/>
      <c r="G43" s="16" t="n"/>
      <c r="H43" s="28" t="n"/>
      <c r="I43" s="74" t="inlineStr">
        <is>
          <t>AI robi hot swap, redeploy, podgląda logi.</t>
        </is>
      </c>
    </row>
    <row r="44" ht="15" customHeight="1" s="51">
      <c r="A44" s="3" t="n"/>
      <c r="B44" s="3" t="n"/>
      <c r="D44" s="3" t="inlineStr">
        <is>
          <t>Przekazanie narzedzi</t>
        </is>
      </c>
      <c r="E44" s="9" t="n"/>
      <c r="F44" s="3" t="inlineStr">
        <is>
          <t>narzedzia</t>
        </is>
      </c>
      <c r="G44" s="16" t="n">
        <v>1000</v>
      </c>
      <c r="H44" s="28" t="n"/>
    </row>
    <row r="45" ht="20" customHeight="1" s="51">
      <c r="A45" s="7" t="inlineStr">
        <is>
          <t>TL.14</t>
        </is>
      </c>
      <c r="B45" s="7" t="inlineStr">
        <is>
          <t>Development</t>
        </is>
      </c>
      <c r="C45" s="8" t="inlineStr">
        <is>
          <t>TL.14 - AI może uruchomić pipeline z Jenkins + wgląd w logi</t>
        </is>
      </c>
      <c r="D45" s="7" t="inlineStr">
        <is>
          <t>Sekcja</t>
        </is>
      </c>
      <c r="E45" s="3" t="n"/>
      <c r="F45" s="3" t="n"/>
      <c r="G45" s="16" t="n"/>
      <c r="H45" s="28" t="n"/>
      <c r="I45" s="74" t="inlineStr">
        <is>
          <t>AI uruchamia pipeline Jenkins.</t>
        </is>
      </c>
    </row>
    <row r="46" ht="15" customHeight="1" s="51">
      <c r="A46" s="3" t="n"/>
      <c r="B46" s="3" t="n"/>
      <c r="D46" s="3" t="inlineStr">
        <is>
          <t>Przekazanie narzedzi</t>
        </is>
      </c>
      <c r="E46" s="9" t="n"/>
      <c r="F46" s="3" t="inlineStr">
        <is>
          <t>narzedzia</t>
        </is>
      </c>
      <c r="G46" s="16" t="n">
        <v>1125</v>
      </c>
      <c r="H46" s="28" t="n"/>
    </row>
    <row r="47" ht="20" customHeight="1" s="51">
      <c r="A47" s="7" t="inlineStr">
        <is>
          <t>TL.31</t>
        </is>
      </c>
      <c r="B47" s="7" t="inlineStr">
        <is>
          <t>Development</t>
        </is>
      </c>
      <c r="C47" s="8" t="inlineStr">
        <is>
          <t>TL.31 - AI lokalny troubleshooting (wgląd w logi, bazę, instrukcje co sprawdzać po kolei)</t>
        </is>
      </c>
      <c r="D47" s="7" t="inlineStr">
        <is>
          <t>Sekcja</t>
        </is>
      </c>
      <c r="E47" s="3" t="n"/>
      <c r="F47" s="3" t="n"/>
      <c r="G47" s="16" t="n"/>
      <c r="H47" s="28" t="n"/>
      <c r="I47" s="74" t="inlineStr">
        <is>
          <t>AI lokalny troubleshooting.</t>
        </is>
      </c>
    </row>
    <row r="48" ht="13" customHeight="1" s="51">
      <c r="A48" s="3" t="n"/>
      <c r="B48" s="3" t="n"/>
      <c r="D48" s="3" t="inlineStr">
        <is>
          <t>Przekazanie narzedzi</t>
        </is>
      </c>
      <c r="E48" s="9" t="n"/>
      <c r="F48" s="3" t="inlineStr">
        <is>
          <t>narzedzia</t>
        </is>
      </c>
      <c r="G48" s="16" t="n">
        <v>1125</v>
      </c>
      <c r="H48" s="28" t="n"/>
    </row>
    <row r="49" ht="20" customHeight="1" s="51">
      <c r="A49" s="7" t="inlineStr">
        <is>
          <t>TL.32</t>
        </is>
      </c>
      <c r="B49" s="7" t="inlineStr">
        <is>
          <t>Development</t>
        </is>
      </c>
      <c r="C49" s="8" t="inlineStr">
        <is>
          <t>TL.32 - Tool dla AI do interakcji z remote beans (wywoływanie requestów przez agenta na środowisku dev dla smoke test / troubleshooting)</t>
        </is>
      </c>
      <c r="D49" s="7" t="inlineStr">
        <is>
          <t>Sekcja</t>
        </is>
      </c>
      <c r="E49" s="3" t="n"/>
      <c r="F49" s="3" t="n"/>
      <c r="G49" s="16" t="n"/>
      <c r="H49" s="28" t="n"/>
      <c r="I49" s="74" t="inlineStr">
        <is>
          <t>AI wywołuje remote beans dla smoke testów.</t>
        </is>
      </c>
    </row>
    <row r="50" ht="15" customHeight="1" s="51">
      <c r="A50" s="3" t="n"/>
      <c r="B50" s="3" t="n"/>
      <c r="D50" s="3" t="inlineStr">
        <is>
          <t>Przekazanie narzedzi</t>
        </is>
      </c>
      <c r="E50" s="9" t="n"/>
      <c r="F50" s="3" t="inlineStr">
        <is>
          <t>narzedzia</t>
        </is>
      </c>
      <c r="G50" s="16" t="n">
        <v>1125</v>
      </c>
      <c r="H50" s="28" t="n"/>
    </row>
    <row r="51" ht="20" customHeight="1" s="51">
      <c r="A51" s="7" t="inlineStr">
        <is>
          <t>TL.11</t>
        </is>
      </c>
      <c r="B51" s="7" t="inlineStr">
        <is>
          <t>Review kodu</t>
        </is>
      </c>
      <c r="C51" s="8" t="inlineStr">
        <is>
          <t>TL.11 - Instrukcje oceniające zmiany / Review zbiorcze w pipeline (wszystkie skile "AI Review ..." + narzędzia deterministyczne + publikacja do review tool)</t>
        </is>
      </c>
      <c r="D51" s="7" t="inlineStr">
        <is>
          <t>Sekcja</t>
        </is>
      </c>
      <c r="E51" s="3" t="n"/>
      <c r="F51" s="3" t="n"/>
      <c r="G51" s="16" t="n"/>
      <c r="H51" s="28" t="n"/>
      <c r="I51" s="74" t="inlineStr">
        <is>
          <t>Automatyczne zbiorcze review w pipeline.</t>
        </is>
      </c>
    </row>
    <row r="52" ht="15" customHeight="1" s="51">
      <c r="A52" s="3" t="n"/>
      <c r="B52" s="3" t="n"/>
      <c r="D52" s="3" t="inlineStr">
        <is>
          <t>Przekazanie narzedzi</t>
        </is>
      </c>
      <c r="E52" s="9" t="n"/>
      <c r="F52" s="3" t="inlineStr">
        <is>
          <t>narzedzia</t>
        </is>
      </c>
      <c r="G52" s="16" t="n">
        <v>1000</v>
      </c>
      <c r="H52" s="28" t="n"/>
    </row>
    <row r="53" ht="20" customHeight="1" s="51">
      <c r="A53" s="7" t="inlineStr">
        <is>
          <t>TL.15</t>
        </is>
      </c>
      <c r="B53" s="7" t="inlineStr">
        <is>
          <t>Review kodu</t>
        </is>
      </c>
      <c r="C53" s="8" t="inlineStr">
        <is>
          <t>TL.15 - AI Review potential bugs (przyrostowe sprawdzenie w nowym kodzie)</t>
        </is>
      </c>
      <c r="D53" s="7" t="inlineStr">
        <is>
          <t>Sekcja</t>
        </is>
      </c>
      <c r="E53" s="3" t="n"/>
      <c r="F53" s="3" t="n"/>
      <c r="G53" s="16" t="n"/>
      <c r="H53" s="28" t="n"/>
      <c r="I53" s="74" t="inlineStr">
        <is>
          <t>Przyrostowe wykrywanie potencjalnych bugów.</t>
        </is>
      </c>
    </row>
    <row r="54" ht="14" customHeight="1" s="51">
      <c r="A54" s="3" t="n"/>
      <c r="B54" s="3" t="n"/>
      <c r="D54" s="3" t="inlineStr">
        <is>
          <t>Przekazanie narzedzi</t>
        </is>
      </c>
      <c r="E54" s="9" t="n"/>
      <c r="F54" s="3" t="inlineStr">
        <is>
          <t>narzedzia</t>
        </is>
      </c>
      <c r="G54" s="16" t="n">
        <v>750</v>
      </c>
      <c r="H54" s="28" t="n"/>
    </row>
    <row r="55" ht="20" customHeight="1" s="51">
      <c r="A55" s="7" t="inlineStr">
        <is>
          <t>TL.16</t>
        </is>
      </c>
      <c r="B55" s="7" t="inlineStr">
        <is>
          <t>Review kodu</t>
        </is>
      </c>
      <c r="C55" s="8" t="inlineStr">
        <is>
          <t>TL.16 - AI Review architektury (przyrostowe sprawdzenie w nowym kodzie)</t>
        </is>
      </c>
      <c r="D55" s="7" t="inlineStr">
        <is>
          <t>Sekcja</t>
        </is>
      </c>
      <c r="E55" s="3" t="n"/>
      <c r="F55" s="3" t="n"/>
      <c r="G55" s="16" t="n"/>
      <c r="H55" s="28" t="n"/>
      <c r="I55" s="74" t="inlineStr">
        <is>
          <t>Przyrostowe sprawdzenie zgodności z architekturą.</t>
        </is>
      </c>
    </row>
    <row r="56" ht="16" customHeight="1" s="51">
      <c r="A56" s="3" t="n"/>
      <c r="B56" s="3" t="n"/>
      <c r="D56" s="3" t="inlineStr">
        <is>
          <t>Przekazanie narzedzi</t>
        </is>
      </c>
      <c r="E56" s="9" t="n"/>
      <c r="F56" s="3" t="inlineStr">
        <is>
          <t>narzedzia</t>
        </is>
      </c>
      <c r="G56" s="16" t="n">
        <v>1000</v>
      </c>
      <c r="H56" s="28" t="n"/>
    </row>
    <row r="57" ht="20" customHeight="1" s="51">
      <c r="A57" s="7" t="inlineStr">
        <is>
          <t>TL.17</t>
        </is>
      </c>
      <c r="B57" s="7" t="inlineStr">
        <is>
          <t>Review kodu</t>
        </is>
      </c>
      <c r="C57" s="8" t="inlineStr">
        <is>
          <t>TL.17 - AI Review complexity check (przyrostowe sprawdzenie w nowym kodzie)</t>
        </is>
      </c>
      <c r="D57" s="7" t="inlineStr">
        <is>
          <t>Sekcja</t>
        </is>
      </c>
      <c r="E57" s="3" t="n"/>
      <c r="F57" s="3" t="n"/>
      <c r="G57" s="16" t="n"/>
      <c r="H57" s="28" t="n"/>
      <c r="I57" s="74" t="inlineStr">
        <is>
          <t>Przyrostowa kontrola złożoności kodu.</t>
        </is>
      </c>
    </row>
    <row r="58" ht="15" customHeight="1" s="51">
      <c r="A58" s="3" t="n"/>
      <c r="B58" s="3" t="n"/>
      <c r="D58" s="3" t="inlineStr">
        <is>
          <t>Przekazanie narzedzi</t>
        </is>
      </c>
      <c r="E58" s="9" t="n"/>
      <c r="F58" s="3" t="inlineStr">
        <is>
          <t>narzedzia</t>
        </is>
      </c>
      <c r="G58" s="16" t="n">
        <v>1000</v>
      </c>
      <c r="H58" s="28" t="n"/>
    </row>
    <row r="59" ht="20" customHeight="1" s="51">
      <c r="A59" s="7" t="inlineStr">
        <is>
          <t>TL.18</t>
        </is>
      </c>
      <c r="B59" s="7" t="inlineStr">
        <is>
          <t>Review kodu</t>
        </is>
      </c>
      <c r="C59" s="8" t="inlineStr">
        <is>
          <t>TL.18 - AI Review implementacja vs specyfikacja</t>
        </is>
      </c>
      <c r="D59" s="7" t="inlineStr">
        <is>
          <t>Sekcja</t>
        </is>
      </c>
      <c r="E59" s="3" t="n"/>
      <c r="F59" s="3" t="n"/>
      <c r="G59" s="16" t="n"/>
      <c r="H59" s="28" t="n"/>
      <c r="I59" s="74" t="inlineStr">
        <is>
          <t>Sprawdzenie czy kod realizuje specyfikację.</t>
        </is>
      </c>
    </row>
    <row r="60" ht="15" customHeight="1" s="51">
      <c r="A60" s="3" t="n"/>
      <c r="B60" s="3" t="n"/>
      <c r="D60" s="3" t="inlineStr">
        <is>
          <t>Przekazanie narzedzi</t>
        </is>
      </c>
      <c r="E60" s="9" t="n"/>
      <c r="F60" s="3" t="inlineStr">
        <is>
          <t>narzedzia</t>
        </is>
      </c>
      <c r="G60" s="16" t="n">
        <v>900</v>
      </c>
      <c r="H60" s="28" t="n"/>
    </row>
    <row r="61" ht="15" customHeight="1" s="51">
      <c r="A61" s="7" t="inlineStr">
        <is>
          <t>TL.21</t>
        </is>
      </c>
      <c r="B61" s="7" t="inlineStr">
        <is>
          <t>Review kodu</t>
        </is>
      </c>
      <c r="C61" s="8" t="inlineStr">
        <is>
          <t>TL.21 - AI Review security (blackbox - SAST)</t>
        </is>
      </c>
      <c r="D61" s="7" t="inlineStr">
        <is>
          <t>Sekcja</t>
        </is>
      </c>
      <c r="E61" s="3" t="n"/>
      <c r="F61" s="3" t="n"/>
      <c r="G61" s="16" t="n"/>
      <c r="H61" s="28" t="n"/>
    </row>
    <row r="62" ht="15" customHeight="1" s="51">
      <c r="A62" s="3" t="n"/>
      <c r="B62" s="3" t="n"/>
      <c r="D62" s="3" t="inlineStr">
        <is>
          <t>Przekazanie narzedzi</t>
        </is>
      </c>
      <c r="E62" s="9" t="n"/>
      <c r="F62" s="3" t="inlineStr">
        <is>
          <t>narzedzia</t>
        </is>
      </c>
      <c r="G62" s="16" t="n">
        <v>1250</v>
      </c>
      <c r="H62" s="28" t="n"/>
    </row>
    <row r="63" ht="15" customHeight="1" s="51">
      <c r="A63" s="7" t="inlineStr">
        <is>
          <t>TL.22</t>
        </is>
      </c>
      <c r="B63" s="7" t="inlineStr">
        <is>
          <t>Review kodu</t>
        </is>
      </c>
      <c r="C63" s="8" t="inlineStr">
        <is>
          <t>TL.22 - Integracja z review tool (ex. BitBucket)</t>
        </is>
      </c>
      <c r="D63" s="7" t="inlineStr">
        <is>
          <t>Sekcja</t>
        </is>
      </c>
      <c r="E63" s="3" t="n"/>
      <c r="F63" s="3" t="n"/>
      <c r="G63" s="16" t="n"/>
      <c r="H63" s="28" t="n"/>
    </row>
    <row r="64" ht="14" customHeight="1" s="51">
      <c r="A64" s="3" t="n"/>
      <c r="B64" s="3" t="n"/>
      <c r="D64" s="3" t="inlineStr">
        <is>
          <t>Przekazanie narzedzi</t>
        </is>
      </c>
      <c r="E64" s="9" t="n"/>
      <c r="F64" s="3" t="inlineStr">
        <is>
          <t>narzedzia</t>
        </is>
      </c>
      <c r="G64" s="16" t="n">
        <v>0</v>
      </c>
      <c r="H64" s="28" t="n"/>
    </row>
    <row r="65" ht="15" customHeight="1" s="51">
      <c r="A65" s="7" t="inlineStr">
        <is>
          <t>TL.28</t>
        </is>
      </c>
      <c r="B65" s="7" t="inlineStr">
        <is>
          <t>Review kodu</t>
        </is>
      </c>
      <c r="C65" s="8" t="inlineStr">
        <is>
          <t>TL.28 - Instrukcje AI do Dokumentowania zmian w wersji po implementacji (na bazie analizy i kodu) (release notes na potrzeby AI)</t>
        </is>
      </c>
      <c r="D65" s="7" t="inlineStr">
        <is>
          <t>Sekcja</t>
        </is>
      </c>
      <c r="E65" s="3" t="n"/>
      <c r="F65" s="3" t="n"/>
      <c r="G65" s="16" t="n"/>
      <c r="H65" s="28" t="n"/>
    </row>
    <row r="66" ht="15" customHeight="1" s="51">
      <c r="A66" s="3" t="n"/>
      <c r="B66" s="3" t="n"/>
      <c r="D66" s="3" t="inlineStr">
        <is>
          <t>Przekazanie narzedzi</t>
        </is>
      </c>
      <c r="E66" s="9" t="n"/>
      <c r="F66" s="3" t="inlineStr">
        <is>
          <t>narzedzia</t>
        </is>
      </c>
      <c r="G66" s="16" t="n">
        <v>750</v>
      </c>
      <c r="H66" s="28" t="n"/>
    </row>
    <row r="67" ht="15" customHeight="1" s="51">
      <c r="A67" s="7" t="inlineStr">
        <is>
          <t>TL.6 [Testy e2e]</t>
        </is>
      </c>
      <c r="B67" s="7" t="inlineStr">
        <is>
          <t>Testy e2e</t>
        </is>
      </c>
      <c r="C67" s="8" t="inlineStr">
        <is>
          <t>TL.6 [Testy e2e] - Instrukcja dla AI generująca scenariusze e2e w pseudokodzie (custom inhouse dsl)</t>
        </is>
      </c>
      <c r="D67" s="7" t="inlineStr">
        <is>
          <t>Sekcja</t>
        </is>
      </c>
      <c r="E67" s="3" t="n"/>
      <c r="F67" s="3" t="n"/>
      <c r="G67" s="16" t="n"/>
      <c r="H67" s="28" t="n"/>
    </row>
    <row r="68" ht="15" customHeight="1" s="51">
      <c r="A68" s="3" t="n"/>
      <c r="B68" s="3" t="n"/>
      <c r="D68" s="3" t="inlineStr">
        <is>
          <t>Przekazanie narzedzi</t>
        </is>
      </c>
      <c r="E68" s="9" t="n"/>
      <c r="F68" s="3" t="inlineStr">
        <is>
          <t>narzedzia</t>
        </is>
      </c>
      <c r="G68" s="16" t="n">
        <v>0</v>
      </c>
      <c r="H68" s="28" t="n"/>
    </row>
    <row r="69" ht="15" customHeight="1" s="51">
      <c r="A69" s="7" t="inlineStr">
        <is>
          <t>TL.7</t>
        </is>
      </c>
      <c r="B69" s="7" t="inlineStr">
        <is>
          <t>Testy e2e</t>
        </is>
      </c>
      <c r="C69" s="8" t="inlineStr">
        <is>
          <t>TL.7 - Instrukcja dla AI do efektywnego nawigowania po stronie i wybrania optymalnych selector-ów</t>
        </is>
      </c>
      <c r="D69" s="7" t="inlineStr">
        <is>
          <t>Sekcja</t>
        </is>
      </c>
      <c r="E69" s="3" t="n"/>
      <c r="F69" s="3" t="n"/>
      <c r="G69" s="16" t="n"/>
      <c r="H69" s="28" t="n"/>
    </row>
    <row r="70" ht="15" customHeight="1" s="51">
      <c r="A70" s="3" t="n"/>
      <c r="B70" s="3" t="n"/>
      <c r="D70" s="3" t="inlineStr">
        <is>
          <t>Przekazanie narzedzi</t>
        </is>
      </c>
      <c r="E70" s="9" t="n"/>
      <c r="F70" s="3" t="inlineStr">
        <is>
          <t>narzedzia</t>
        </is>
      </c>
      <c r="G70" s="16" t="n">
        <v>750</v>
      </c>
      <c r="H70" s="28" t="n"/>
    </row>
    <row r="71" ht="15" customHeight="1" s="51">
      <c r="A71" s="7" t="inlineStr">
        <is>
          <t>TL.27</t>
        </is>
      </c>
      <c r="B71" s="7" t="inlineStr">
        <is>
          <t>Testy e2e</t>
        </is>
      </c>
      <c r="C71" s="8" t="inlineStr">
        <is>
          <t>TL.27 - Tool do Zarządzanie Danymi testowymi i resetowalność e2e</t>
        </is>
      </c>
      <c r="D71" s="7" t="inlineStr">
        <is>
          <t>Sekcja</t>
        </is>
      </c>
      <c r="E71" s="3" t="n"/>
      <c r="F71" s="3" t="n"/>
      <c r="G71" s="16" t="n"/>
      <c r="H71" s="28" t="n"/>
    </row>
    <row r="72" ht="16" customHeight="1" s="51">
      <c r="A72" s="3" t="n"/>
      <c r="B72" s="3" t="n"/>
      <c r="D72" s="3" t="inlineStr">
        <is>
          <t>Przekazanie narzedzi</t>
        </is>
      </c>
      <c r="E72" s="9" t="n"/>
      <c r="F72" s="3" t="inlineStr">
        <is>
          <t>narzedzia</t>
        </is>
      </c>
      <c r="G72" s="16" t="n">
        <v>750</v>
      </c>
      <c r="H72" s="28" t="n"/>
    </row>
    <row r="73" ht="15" customHeight="1" s="51">
      <c r="A73" s="7" t="inlineStr">
        <is>
          <t>TL.33</t>
        </is>
      </c>
      <c r="B73" s="7" t="inlineStr">
        <is>
          <t>Integracje z Jira i Confluence on premis</t>
        </is>
      </c>
      <c r="C73" s="8" t="inlineStr">
        <is>
          <t>TL.33 - Integracja agenta z Go Jira on premis</t>
        </is>
      </c>
      <c r="D73" s="7" t="inlineStr">
        <is>
          <t>Sekcja</t>
        </is>
      </c>
      <c r="E73" s="3" t="n"/>
      <c r="F73" s="3" t="n"/>
      <c r="G73" s="16" t="n"/>
      <c r="H73" s="28" t="n"/>
    </row>
    <row r="74" ht="15" customHeight="1" s="51">
      <c r="A74" s="3" t="n"/>
      <c r="B74" s="3" t="n"/>
      <c r="D74" s="3" t="inlineStr">
        <is>
          <t>Przekazanie narzedzi</t>
        </is>
      </c>
      <c r="E74" s="9" t="n"/>
      <c r="F74" s="3" t="inlineStr">
        <is>
          <t>narzedzia</t>
        </is>
      </c>
      <c r="G74" s="16" t="n">
        <v>500</v>
      </c>
      <c r="H74" s="28" t="n"/>
    </row>
    <row r="75" ht="15" customHeight="1" s="51">
      <c r="A75" s="7" t="inlineStr">
        <is>
          <t>TL.23</t>
        </is>
      </c>
      <c r="B75" s="7" t="inlineStr">
        <is>
          <t>Integracje z Jira i Confluence on premis</t>
        </is>
      </c>
      <c r="C75" s="8" t="inlineStr">
        <is>
          <t>TL.23 - Triage issues w Jira (nice to have)</t>
        </is>
      </c>
      <c r="D75" s="7" t="inlineStr">
        <is>
          <t>Sekcja</t>
        </is>
      </c>
      <c r="E75" s="3" t="n"/>
      <c r="F75" s="3" t="n"/>
      <c r="G75" s="16" t="n"/>
      <c r="H75" s="28" t="n"/>
    </row>
    <row r="76" ht="15" customHeight="1" s="51">
      <c r="A76" s="3" t="n"/>
      <c r="B76" s="3" t="n"/>
      <c r="D76" s="3" t="inlineStr">
        <is>
          <t>Przekazanie narzedzi</t>
        </is>
      </c>
      <c r="E76" s="9" t="n"/>
      <c r="F76" s="3" t="inlineStr">
        <is>
          <t>narzedzia</t>
        </is>
      </c>
      <c r="G76" s="16" t="n">
        <v>750</v>
      </c>
      <c r="H76" s="28" t="n"/>
    </row>
    <row r="77" ht="15" customHeight="1" s="51">
      <c r="A77" s="7" t="inlineStr">
        <is>
          <t>TL.24</t>
        </is>
      </c>
      <c r="B77" s="7" t="inlineStr">
        <is>
          <t>Integracje z Jira i Confluence on premis</t>
        </is>
      </c>
      <c r="C77" s="8" t="inlineStr">
        <is>
          <t>TL.24 - Find duplicates w Jira (nice to have, best effort dla on-premis)</t>
        </is>
      </c>
      <c r="D77" s="7" t="inlineStr">
        <is>
          <t>Sekcja</t>
        </is>
      </c>
      <c r="E77" s="3" t="n"/>
      <c r="F77" s="3" t="n"/>
      <c r="G77" s="16" t="n"/>
      <c r="H77" s="28" t="n"/>
    </row>
    <row r="78" ht="15" customHeight="1" s="51">
      <c r="A78" s="3" t="n"/>
      <c r="B78" s="3" t="n"/>
      <c r="D78" s="3" t="inlineStr">
        <is>
          <t>Przekazanie narzedzi</t>
        </is>
      </c>
      <c r="E78" s="9" t="n"/>
      <c r="F78" s="3" t="inlineStr">
        <is>
          <t>narzedzia</t>
        </is>
      </c>
      <c r="G78" s="16" t="n">
        <v>750</v>
      </c>
      <c r="H78" s="28" t="n"/>
    </row>
    <row r="79" ht="15" customHeight="1" s="51">
      <c r="A79" s="7" t="inlineStr">
        <is>
          <t>TL.25</t>
        </is>
      </c>
      <c r="B79" s="7" t="inlineStr">
        <is>
          <t>Integracje z Jira i Confluence on premis</t>
        </is>
      </c>
      <c r="C79" s="8" t="inlineStr">
        <is>
          <t>TL.25 - Szukanie w Confluence (best effort dla on-premis)</t>
        </is>
      </c>
      <c r="D79" s="7" t="inlineStr">
        <is>
          <t>Sekcja</t>
        </is>
      </c>
      <c r="E79" s="3" t="n"/>
      <c r="F79" s="3" t="n"/>
      <c r="G79" s="16" t="n"/>
    </row>
    <row r="80" ht="32" customHeight="1" s="51">
      <c r="A80" s="3" t="n"/>
      <c r="B80" s="3" t="n"/>
      <c r="D80" s="3" t="inlineStr">
        <is>
          <t>Przekazanie narzedzi</t>
        </is>
      </c>
      <c r="E80" s="9" t="n"/>
      <c r="F80" s="3" t="inlineStr">
        <is>
          <t>narzedzia</t>
        </is>
      </c>
      <c r="G80" s="16" t="n">
        <v>750</v>
      </c>
    </row>
    <row r="81" ht="15" customHeight="1" s="51">
      <c r="A81" s="7" t="inlineStr">
        <is>
          <t>TL.26</t>
        </is>
      </c>
      <c r="B81" s="7" t="inlineStr">
        <is>
          <t>Integracje z Jira i Confluence on premis</t>
        </is>
      </c>
      <c r="C81" s="8" t="inlineStr">
        <is>
          <t>TL.26 - Aktualizacja artykułu w Confluence (nice to have)</t>
        </is>
      </c>
      <c r="D81" s="7" t="inlineStr">
        <is>
          <t>Sekcja</t>
        </is>
      </c>
      <c r="E81" s="3" t="n"/>
      <c r="F81" s="3" t="n"/>
      <c r="G81" s="16" t="n"/>
    </row>
    <row r="82" ht="15" customHeight="1" s="51">
      <c r="A82" s="3" t="n"/>
      <c r="B82" s="3" t="n"/>
      <c r="D82" s="3" t="inlineStr">
        <is>
          <t>Przekazanie narzedzi</t>
        </is>
      </c>
      <c r="E82" s="9" t="n"/>
      <c r="F82" s="3" t="inlineStr">
        <is>
          <t>narzedzia</t>
        </is>
      </c>
      <c r="G82" s="16" t="n">
        <v>0</v>
      </c>
    </row>
    <row r="83" ht="15" customHeight="1" s="51">
      <c r="A83" s="7" t="inlineStr">
        <is>
          <t>TL.12</t>
        </is>
      </c>
      <c r="B83" s="7" t="inlineStr">
        <is>
          <t>Excel → XML (jednorazowe)</t>
        </is>
      </c>
      <c r="C83" s="8" t="inlineStr">
        <is>
          <t>TL.12 - Jednorazowa migracja i walidacja parametryzacji (Excel -&gt; XML)</t>
        </is>
      </c>
      <c r="D83" s="7" t="inlineStr">
        <is>
          <t>Sekcja</t>
        </is>
      </c>
      <c r="E83" s="3" t="n"/>
      <c r="F83" s="3" t="n"/>
      <c r="G83" s="16" t="n"/>
    </row>
    <row r="84" ht="15" customHeight="1" s="51">
      <c r="A84" s="3" t="n"/>
      <c r="B84" s="3" t="n"/>
      <c r="D84" s="3" t="inlineStr">
        <is>
          <t>Przekazanie narzedzi</t>
        </is>
      </c>
      <c r="E84" s="9" t="n"/>
      <c r="F84" s="3" t="inlineStr">
        <is>
          <t>narzedzia</t>
        </is>
      </c>
      <c r="G84" s="16" t="n">
        <v>0</v>
      </c>
    </row>
    <row r="85" ht="15" customHeight="1" s="51"/>
    <row r="86" ht="15" customHeight="1" s="51">
      <c r="F86" t="inlineStr">
        <is>
          <t>Suma wszystkiego</t>
        </is>
      </c>
      <c r="G86">
        <f>SUM(G5:G84)</f>
        <v/>
      </c>
    </row>
    <row r="87" ht="15" customHeight="1" s="51">
      <c r="F87" s="7" t="n"/>
      <c r="G87" s="26" t="n"/>
    </row>
    <row r="88" ht="32" customHeight="1" s="51">
      <c r="F88" t="inlineStr">
        <is>
          <t>Przekazanie narzedzi (suma)</t>
        </is>
      </c>
      <c r="H88">
        <f>SUMIFS(G5:G84,F5:F84,"narzedzia")</f>
        <v/>
      </c>
    </row>
    <row r="89" ht="15" customHeight="1" s="51">
      <c r="F89" t="inlineStr">
        <is>
          <t>Przekazanie knowhow (suma)</t>
        </is>
      </c>
      <c r="H89">
        <f>SUMIFS(G5:G84,F5:F84,"knowhow")</f>
        <v/>
      </c>
    </row>
    <row r="90" ht="15" customHeight="1" s="51"/>
    <row r="91" ht="15" customHeight="1" s="51"/>
    <row r="92" ht="15" customHeight="1" s="51"/>
    <row r="93" ht="15" customHeight="1" s="51"/>
    <row r="94" ht="15" customHeight="1" s="51"/>
    <row r="95" ht="15" customHeight="1" s="51"/>
    <row r="96" ht="32" customHeight="1" s="51"/>
    <row r="97" ht="15" customHeight="1" s="51"/>
    <row r="98" ht="15" customHeight="1" s="51"/>
    <row r="99" ht="15" customHeight="1" s="51"/>
    <row r="100" ht="15" customHeight="1" s="51"/>
    <row r="101" ht="15" customHeight="1" s="51"/>
    <row r="102" ht="15" customHeight="1" s="51"/>
    <row r="103" ht="15" customHeight="1" s="51"/>
    <row r="104" ht="32" customHeight="1" s="51"/>
    <row r="105" ht="15" customHeight="1" s="51"/>
    <row r="106" ht="15" customHeight="1" s="51"/>
    <row r="107" ht="15" customHeight="1" s="51"/>
    <row r="108" ht="15" customHeight="1" s="51"/>
    <row r="109" ht="15" customHeight="1" s="51"/>
    <row r="110" ht="15" customHeight="1" s="51"/>
    <row r="111" ht="15" customHeight="1" s="51"/>
    <row r="112" ht="15" customHeight="1" s="51"/>
    <row r="113" ht="32" customHeight="1" s="51"/>
    <row r="114" ht="15" customHeight="1" s="51"/>
    <row r="115" ht="15" customHeight="1" s="51"/>
    <row r="116" ht="15" customHeight="1" s="51"/>
    <row r="117" ht="15" customHeight="1" s="51"/>
    <row r="118" ht="15" customHeight="1" s="51"/>
    <row r="119" ht="15" customHeight="1" s="51"/>
    <row r="120" ht="15" customHeight="1" s="51"/>
    <row r="121" ht="32" customHeight="1" s="51"/>
    <row r="122" ht="15" customHeight="1" s="51"/>
    <row r="123" ht="15" customHeight="1" s="51"/>
    <row r="124" ht="15" customHeight="1" s="51"/>
    <row r="125" ht="15" customHeight="1" s="51"/>
    <row r="126" ht="15" customHeight="1" s="51"/>
    <row r="127" ht="15" customHeight="1" s="51"/>
    <row r="128" ht="15" customHeight="1" s="51"/>
    <row r="129" ht="32" customHeight="1" s="51"/>
    <row r="130" ht="15" customHeight="1" s="51"/>
    <row r="131" ht="15" customHeight="1" s="51"/>
    <row r="132" ht="15" customHeight="1" s="51"/>
    <row r="133" ht="15" customHeight="1" s="51"/>
    <row r="134" ht="15" customHeight="1" s="51"/>
    <row r="135" ht="15" customHeight="1" s="51"/>
    <row r="136" ht="15" customHeight="1" s="51"/>
    <row r="137" ht="32" customHeight="1" s="51"/>
    <row r="138" ht="15" customHeight="1" s="51"/>
    <row r="139" ht="15" customHeight="1" s="51"/>
    <row r="140" ht="15" customHeight="1" s="51"/>
    <row r="141" ht="15" customHeight="1" s="51"/>
    <row r="142" ht="15" customHeight="1" s="51"/>
    <row r="143" ht="15" customHeight="1" s="51"/>
    <row r="144" ht="15" customHeight="1" s="51"/>
    <row r="145" ht="16" customHeight="1" s="51"/>
    <row r="146" ht="15" customHeight="1" s="51"/>
    <row r="147" ht="15" customHeight="1" s="51"/>
    <row r="148" ht="15" customHeight="1" s="51"/>
    <row r="149" ht="15" customHeight="1" s="51"/>
    <row r="150" ht="15" customHeight="1" s="51"/>
    <row r="151" ht="15" customHeight="1" s="51"/>
    <row r="152" ht="15" customHeight="1" s="51"/>
    <row r="153" ht="32" customHeight="1" s="51"/>
    <row r="154" ht="15" customHeight="1" s="51"/>
    <row r="155" ht="15" customHeight="1" s="51"/>
    <row r="156" ht="15" customHeight="1" s="51"/>
    <row r="157" ht="15" customHeight="1" s="51"/>
    <row r="158" ht="15" customHeight="1" s="51"/>
    <row r="159" ht="15" customHeight="1" s="51"/>
    <row r="160" ht="15" customHeight="1" s="51"/>
    <row r="161" ht="16" customHeight="1" s="51"/>
    <row r="162" ht="15" customHeight="1" s="51"/>
    <row r="163" ht="15" customHeight="1" s="51"/>
    <row r="164" ht="15" customHeight="1" s="51"/>
    <row r="165" ht="15" customHeight="1" s="51"/>
    <row r="166" ht="15" customHeight="1" s="51"/>
    <row r="167" ht="15" customHeight="1" s="51"/>
    <row r="168" ht="15" customHeight="1" s="51"/>
    <row r="169" ht="32" customHeight="1" s="51"/>
    <row r="170" ht="15" customHeight="1" s="51"/>
    <row r="171" ht="15" customHeight="1" s="51"/>
    <row r="172" ht="15" customHeight="1" s="51"/>
    <row r="173" ht="15" customHeight="1" s="51"/>
    <row r="174" ht="15" customHeight="1" s="51"/>
    <row r="175" ht="15" customHeight="1" s="51"/>
    <row r="176" ht="15" customHeight="1" s="51"/>
    <row r="177" ht="32" customHeight="1" s="51"/>
    <row r="178" ht="15" customHeight="1" s="51"/>
    <row r="179" ht="15" customHeight="1" s="51"/>
    <row r="180" ht="15" customHeight="1" s="51"/>
    <row r="181" ht="15" customHeight="1" s="51"/>
    <row r="182" ht="15" customHeight="1" s="51"/>
    <row r="183" ht="15" customHeight="1" s="51"/>
    <row r="184" ht="15" customHeight="1" s="51"/>
    <row r="185" ht="32" customHeight="1" s="51"/>
    <row r="186" ht="15" customHeight="1" s="51"/>
    <row r="187" ht="15" customHeight="1" s="51"/>
    <row r="188" ht="15" customHeight="1" s="51"/>
    <row r="189" ht="15" customHeight="1" s="51"/>
    <row r="190" ht="15" customHeight="1" s="51"/>
    <row r="191" ht="15" customHeight="1" s="51"/>
    <row r="192" ht="15" customHeight="1" s="51"/>
    <row r="193" ht="16" customHeight="1" s="51"/>
    <row r="194" ht="15" customHeight="1" s="51"/>
    <row r="195" ht="15" customHeight="1" s="51"/>
    <row r="196" ht="15" customHeight="1" s="51"/>
    <row r="197" ht="15" customHeight="1" s="51"/>
    <row r="198" ht="15" customHeight="1" s="51"/>
    <row r="199" ht="15" customHeight="1" s="51"/>
    <row r="200" ht="15" customHeight="1" s="51"/>
    <row r="201" ht="16" customHeight="1" s="51"/>
    <row r="202" ht="15" customHeight="1" s="51"/>
    <row r="203" ht="15" customHeight="1" s="51"/>
    <row r="204" ht="15" customHeight="1" s="51"/>
    <row r="205" ht="15" customHeight="1" s="51"/>
    <row r="206" ht="15" customHeight="1" s="51"/>
    <row r="207" ht="15" customHeight="1" s="51"/>
    <row r="208" ht="15" customHeight="1" s="51"/>
    <row r="209" ht="16" customHeight="1" s="51"/>
    <row r="210" ht="15" customHeight="1" s="51"/>
    <row r="211" ht="15" customHeight="1" s="51"/>
    <row r="212" ht="15" customHeight="1" s="51"/>
    <row r="213" ht="15" customHeight="1" s="51"/>
    <row r="214" ht="15" customHeight="1" s="51"/>
    <row r="215" ht="15" customHeight="1" s="51"/>
    <row r="216" ht="15" customHeight="1" s="51"/>
    <row r="217" ht="16" customHeight="1" s="51"/>
    <row r="218" ht="15" customHeight="1" s="51"/>
    <row r="219" ht="15" customHeight="1" s="51"/>
    <row r="220" ht="15" customHeight="1" s="51"/>
    <row r="221" ht="15" customHeight="1" s="51"/>
    <row r="222" ht="15" customHeight="1" s="51"/>
    <row r="223" ht="15" customHeight="1" s="51"/>
    <row r="224" ht="15" customHeight="1" s="51"/>
    <row r="225" ht="16" customHeight="1" s="51"/>
    <row r="226" ht="15" customHeight="1" s="51"/>
    <row r="227" ht="15" customHeight="1" s="51"/>
    <row r="228" ht="15" customHeight="1" s="51"/>
    <row r="229" ht="15" customHeight="1" s="51"/>
    <row r="230" ht="15" customHeight="1" s="51"/>
    <row r="231" ht="15" customHeight="1" s="51"/>
    <row r="232" ht="15" customHeight="1" s="51"/>
    <row r="233" ht="16" customHeight="1" s="51"/>
    <row r="234" ht="15" customHeight="1" s="51"/>
    <row r="235" ht="15" customHeight="1" s="51"/>
    <row r="236" ht="15" customHeight="1" s="51"/>
    <row r="237" ht="15" customHeight="1" s="51"/>
    <row r="238" ht="15" customHeight="1" s="51"/>
    <row r="239" ht="15" customHeight="1" s="51"/>
    <row r="240" ht="15" customHeight="1" s="51"/>
    <row r="241" ht="32" customHeight="1" s="51"/>
    <row r="242" ht="15" customHeight="1" s="51"/>
    <row r="243" ht="15" customHeight="1" s="51"/>
    <row r="244" ht="15" customHeight="1" s="51"/>
    <row r="245" ht="15" customHeight="1" s="51"/>
    <row r="246" ht="15" customHeight="1" s="51"/>
    <row r="247" ht="15" customHeight="1" s="51"/>
    <row r="248" ht="15" customHeight="1" s="51"/>
    <row r="249" ht="32" customHeight="1" s="51"/>
    <row r="250" ht="15" customHeight="1" s="51"/>
    <row r="251" ht="15" customHeight="1" s="51"/>
    <row r="252" ht="15" customHeight="1" s="51"/>
    <row r="253" ht="15" customHeight="1" s="51"/>
    <row r="254" ht="15" customHeight="1" s="51"/>
    <row r="255" ht="15" customHeight="1" s="51"/>
    <row r="256" ht="15" customHeight="1" s="51"/>
    <row r="257" ht="32" customHeight="1" s="51"/>
    <row r="258" ht="15" customHeight="1" s="51"/>
    <row r="259" ht="15" customHeight="1" s="51"/>
    <row r="260" ht="15" customHeight="1" s="51"/>
    <row r="261" ht="15" customHeight="1" s="51"/>
    <row r="262" ht="15" customHeight="1" s="51"/>
    <row r="263" ht="15" customHeight="1" s="51"/>
    <row r="264" ht="15" customHeight="1" s="51"/>
    <row r="265" ht="16" customHeight="1" s="51"/>
    <row r="266" ht="15" customHeight="1" s="51"/>
    <row r="267" ht="15" customHeight="1" s="51"/>
    <row r="268" ht="15" customHeight="1" s="51"/>
    <row r="269" ht="15" customHeight="1" s="51"/>
    <row r="270" ht="15" customHeight="1" s="51"/>
    <row r="271" ht="15" customHeight="1" s="51"/>
    <row r="272" ht="15" customHeight="1" s="51"/>
    <row r="273" ht="16" customHeight="1" s="51"/>
    <row r="274" ht="15" customHeight="1" s="51"/>
    <row r="275" ht="15" customHeight="1" s="51"/>
    <row r="276" ht="15" customHeight="1" s="51"/>
    <row r="277" ht="15" customHeight="1" s="51"/>
    <row r="278" ht="15" customHeight="1" s="51"/>
    <row r="279" ht="15" customHeight="1" s="51"/>
    <row r="280" ht="15" customHeight="1" s="51"/>
    <row r="281" ht="16" customHeight="1" s="51"/>
    <row r="282" ht="15" customHeight="1" s="51"/>
    <row r="283" ht="15" customHeight="1" s="51"/>
    <row r="284" ht="15" customHeight="1" s="51"/>
    <row r="285" ht="15" customHeight="1" s="51"/>
    <row r="286" ht="15" customHeight="1" s="51"/>
    <row r="287" ht="15" customHeight="1" s="51"/>
    <row r="288" ht="15" customHeight="1" s="51"/>
    <row r="289" ht="16" customHeight="1" s="51"/>
    <row r="290" ht="15" customHeight="1" s="51"/>
    <row r="291" ht="15" customHeight="1" s="51"/>
    <row r="292" ht="15" customHeight="1" s="51"/>
    <row r="293" ht="15" customHeight="1" s="51"/>
    <row r="294" ht="15" customHeight="1" s="51"/>
    <row r="295" ht="15" customHeight="1" s="51"/>
    <row r="296" ht="15" customHeight="1" s="51"/>
    <row r="297" ht="16" customHeight="1" s="51"/>
    <row r="298" ht="15" customHeight="1" s="51"/>
    <row r="299" ht="15" customHeight="1" s="51"/>
    <row r="300" ht="15" customHeight="1" s="51"/>
    <row r="301" ht="15" customHeight="1" s="51"/>
    <row r="302" ht="15" customHeight="1" s="51"/>
    <row r="303" ht="15" customHeight="1" s="51"/>
    <row r="304" ht="15" customHeight="1" s="51"/>
    <row r="305" ht="16" customHeight="1" s="51"/>
    <row r="306" ht="15" customHeight="1" s="51"/>
    <row r="307" ht="15" customHeight="1" s="51"/>
    <row r="308" ht="15" customHeight="1" s="51"/>
    <row r="309" ht="15" customHeight="1" s="51"/>
    <row r="310" ht="15" customHeight="1" s="51"/>
    <row r="311" ht="15" customHeight="1" s="51"/>
    <row r="312" ht="15" customHeight="1" s="51"/>
    <row r="313" ht="16" customHeight="1" s="51"/>
    <row r="314" ht="15" customHeight="1" s="51"/>
    <row r="315" ht="15" customHeight="1" s="51"/>
    <row r="316" ht="15" customHeight="1" s="51"/>
    <row r="317" ht="15" customHeight="1" s="51"/>
    <row r="318" ht="15" customHeight="1" s="51"/>
    <row r="319" ht="15" customHeight="1" s="51"/>
    <row r="320" ht="15" customHeight="1" s="51"/>
    <row r="321" ht="15" customHeight="1" s="51"/>
    <row r="322" ht="15" customHeight="1" s="51"/>
    <row r="323" ht="15" customHeight="1" s="51"/>
    <row r="324" ht="15" customHeight="1" s="51"/>
    <row r="325" ht="15" customHeight="1" s="51"/>
    <row r="326" ht="13" customHeight="1" s="51"/>
    <row r="327" ht="13" customHeight="1" s="51"/>
    <row r="328" ht="13" customHeight="1" s="51"/>
    <row r="329" ht="13" customHeight="1" s="51"/>
    <row r="330" ht="13" customHeight="1" s="51"/>
    <row r="331" ht="13" customHeight="1" s="51"/>
    <row r="332" ht="13" customHeight="1" s="51"/>
    <row r="333" ht="13" customHeight="1" s="51"/>
    <row r="334" ht="13" customHeight="1" s="51"/>
    <row r="335" ht="13" customHeight="1" s="51"/>
    <row r="336" ht="13" customHeight="1" s="51"/>
    <row r="337" ht="13" customHeight="1" s="51"/>
    <row r="338" ht="13" customHeight="1" s="51"/>
    <row r="339" ht="13" customHeight="1" s="51"/>
    <row r="340" ht="13" customHeight="1" s="51"/>
    <row r="341" ht="13" customHeight="1" s="51"/>
    <row r="342" ht="13" customHeight="1" s="51"/>
    <row r="343" ht="13" customHeight="1" s="51"/>
    <row r="344" ht="13" customHeight="1" s="51"/>
    <row r="345" ht="13" customHeight="1" s="51"/>
    <row r="346" ht="13" customHeight="1" s="51"/>
    <row r="347" ht="13" customHeight="1" s="51"/>
    <row r="348" ht="13" customHeight="1" s="51"/>
    <row r="349" ht="13" customHeight="1" s="51"/>
    <row r="350" ht="13" customHeight="1" s="51"/>
    <row r="351" ht="13" customHeight="1" s="51"/>
    <row r="352" ht="13" customHeight="1" s="51"/>
    <row r="353" ht="13" customHeight="1" s="51"/>
    <row r="354" ht="13" customHeight="1" s="51"/>
    <row r="355" ht="13" customHeight="1" s="51"/>
    <row r="356" ht="13" customHeight="1" s="51"/>
    <row r="357" ht="13" customHeight="1" s="51"/>
    <row r="358" ht="13" customHeight="1" s="51"/>
    <row r="359" ht="13" customHeight="1" s="51"/>
    <row r="360" ht="13" customHeight="1" s="51"/>
    <row r="361" ht="13" customHeight="1" s="51"/>
    <row r="362" ht="13" customHeight="1" s="51"/>
    <row r="363" ht="13" customHeight="1" s="51"/>
    <row r="364" ht="13" customHeight="1" s="51"/>
    <row r="365" ht="13" customHeight="1" s="51"/>
    <row r="366" ht="13" customHeight="1" s="51"/>
    <row r="367" ht="13" customHeight="1" s="51"/>
    <row r="368" ht="13" customHeight="1" s="51"/>
    <row r="369" ht="13" customHeight="1" s="51"/>
    <row r="370" ht="13" customHeight="1" s="51"/>
    <row r="371" ht="13" customHeight="1" s="51"/>
    <row r="372" ht="13" customHeight="1" s="51"/>
    <row r="373" ht="13" customHeight="1" s="51"/>
    <row r="374" ht="13" customHeight="1" s="51"/>
    <row r="375" ht="13" customHeight="1" s="51"/>
    <row r="376" ht="13" customHeight="1" s="51"/>
    <row r="377" ht="13" customHeight="1" s="51"/>
    <row r="378" ht="13" customHeight="1" s="51"/>
    <row r="379" ht="13" customHeight="1" s="51"/>
    <row r="380" ht="13" customHeight="1" s="51"/>
    <row r="381" ht="13" customHeight="1" s="51"/>
    <row r="382" ht="13" customHeight="1" s="51"/>
    <row r="383" ht="13" customHeight="1" s="51"/>
    <row r="384" ht="13" customHeight="1" s="51"/>
    <row r="385" ht="13" customHeight="1" s="51"/>
    <row r="386" ht="13" customHeight="1" s="51"/>
    <row r="387" ht="13" customHeight="1" s="51"/>
    <row r="388" ht="13" customHeight="1" s="51"/>
    <row r="389" ht="13" customHeight="1" s="51"/>
    <row r="390" ht="13" customHeight="1" s="51"/>
    <row r="391" ht="13" customHeight="1" s="51"/>
    <row r="392" ht="13" customHeight="1" s="51"/>
    <row r="393" ht="13" customHeight="1" s="51"/>
    <row r="394" ht="13" customHeight="1" s="51"/>
    <row r="395" ht="13" customHeight="1" s="51"/>
    <row r="396" ht="13" customHeight="1" s="51"/>
    <row r="397" ht="13" customHeight="1" s="51"/>
    <row r="398" ht="13" customHeight="1" s="51"/>
    <row r="399" ht="13" customHeight="1" s="51"/>
    <row r="400" ht="13" customHeight="1" s="51"/>
    <row r="401" ht="13" customHeight="1" s="51"/>
    <row r="402" ht="13" customHeight="1" s="51"/>
    <row r="403" ht="13" customHeight="1" s="51"/>
    <row r="404" ht="13" customHeight="1" s="51"/>
    <row r="405" ht="13" customHeight="1" s="51"/>
    <row r="406" ht="13" customHeight="1" s="51"/>
    <row r="407" ht="13" customHeight="1" s="51"/>
    <row r="408" ht="13" customHeight="1" s="51"/>
    <row r="409" ht="13" customHeight="1" s="51"/>
    <row r="410" ht="13" customHeight="1" s="51"/>
    <row r="411" ht="13" customHeight="1" s="51"/>
    <row r="412" ht="13" customHeight="1" s="51"/>
    <row r="413" ht="13" customHeight="1" s="51"/>
    <row r="414" ht="13" customHeight="1" s="51"/>
    <row r="415" ht="13" customHeight="1" s="51"/>
    <row r="416" ht="13" customHeight="1" s="51"/>
    <row r="417" ht="13" customHeight="1" s="51"/>
    <row r="418" ht="13" customHeight="1" s="51"/>
    <row r="419" ht="13" customHeight="1" s="51"/>
    <row r="420" ht="13" customHeight="1" s="51"/>
    <row r="421" ht="13" customHeight="1" s="51"/>
    <row r="422" ht="13" customHeight="1" s="51"/>
    <row r="423" ht="13" customHeight="1" s="51"/>
    <row r="424" ht="13" customHeight="1" s="51"/>
    <row r="425" ht="13" customHeight="1" s="51"/>
    <row r="426" ht="13" customHeight="1" s="51"/>
    <row r="427" ht="13" customHeight="1" s="51"/>
    <row r="428" ht="13" customHeight="1" s="51"/>
    <row r="429" ht="13" customHeight="1" s="51"/>
    <row r="430" ht="13" customHeight="1" s="51"/>
    <row r="431" ht="13" customHeight="1" s="51"/>
    <row r="432" ht="13" customHeight="1" s="51"/>
    <row r="433" ht="13" customHeight="1" s="51"/>
    <row r="434" ht="13" customHeight="1" s="51"/>
    <row r="435" ht="13" customHeight="1" s="51"/>
    <row r="436" ht="13" customHeight="1" s="51"/>
    <row r="437" ht="13" customHeight="1" s="51"/>
    <row r="438" ht="13" customHeight="1" s="51"/>
    <row r="439" ht="13" customHeight="1" s="51"/>
    <row r="440" ht="13" customHeight="1" s="51"/>
    <row r="441" ht="13" customHeight="1" s="51"/>
    <row r="442" ht="13" customHeight="1" s="51"/>
    <row r="443" ht="13" customHeight="1" s="51"/>
    <row r="444" ht="13" customHeight="1" s="51"/>
    <row r="445" ht="13" customHeight="1" s="51"/>
    <row r="446" ht="13" customHeight="1" s="51"/>
    <row r="447" ht="13" customHeight="1" s="51"/>
    <row r="448" ht="13" customHeight="1" s="51"/>
    <row r="449" ht="13" customHeight="1" s="51"/>
    <row r="450" ht="13" customHeight="1" s="51"/>
    <row r="451" ht="13" customHeight="1" s="51"/>
    <row r="452" ht="13" customHeight="1" s="51"/>
    <row r="453" ht="13" customHeight="1" s="51"/>
    <row r="454" ht="13" customHeight="1" s="51"/>
    <row r="455" ht="13" customHeight="1" s="51"/>
    <row r="456" ht="13" customHeight="1" s="51"/>
    <row r="457" ht="13" customHeight="1" s="51"/>
    <row r="458" ht="13" customHeight="1" s="51"/>
    <row r="459" ht="13" customHeight="1" s="51"/>
    <row r="460" ht="13" customHeight="1" s="51"/>
    <row r="461" ht="13" customHeight="1" s="51"/>
    <row r="462" ht="13" customHeight="1" s="51"/>
    <row r="463" ht="13" customHeight="1" s="51"/>
    <row r="464" ht="13" customHeight="1" s="51"/>
    <row r="465" ht="13" customHeight="1" s="51"/>
    <row r="466" ht="13" customHeight="1" s="51"/>
    <row r="467" ht="13" customHeight="1" s="51"/>
    <row r="468" ht="13" customHeight="1" s="51"/>
    <row r="469" ht="13" customHeight="1" s="51"/>
    <row r="470" ht="13" customHeight="1" s="51"/>
    <row r="471" ht="13" customHeight="1" s="51"/>
    <row r="472" ht="13" customHeight="1" s="51"/>
    <row r="473" ht="13" customHeight="1" s="51"/>
    <row r="474" ht="13" customHeight="1" s="51"/>
    <row r="475" ht="13" customHeight="1" s="51"/>
    <row r="476" ht="13" customHeight="1" s="51"/>
    <row r="477" ht="13" customHeight="1" s="51"/>
    <row r="478" ht="13" customHeight="1" s="51"/>
    <row r="479" ht="13" customHeight="1" s="51"/>
    <row r="480" ht="13" customHeight="1" s="51"/>
    <row r="481" ht="13" customHeight="1" s="51"/>
    <row r="482" ht="13" customHeight="1" s="51"/>
    <row r="483" ht="13" customHeight="1" s="51"/>
    <row r="484" ht="13" customHeight="1" s="51"/>
    <row r="485" ht="13" customHeight="1" s="51"/>
    <row r="486" ht="13" customHeight="1" s="51"/>
    <row r="487" ht="13" customHeight="1" s="51"/>
    <row r="488" ht="13" customHeight="1" s="51"/>
    <row r="489" ht="13" customHeight="1" s="51"/>
    <row r="490" ht="13" customHeight="1" s="51"/>
    <row r="491" ht="13" customHeight="1" s="51"/>
    <row r="492" ht="13" customHeight="1" s="51"/>
    <row r="493" ht="13" customHeight="1" s="51"/>
    <row r="494" ht="13" customHeight="1" s="51"/>
    <row r="495" ht="13" customHeight="1" s="51"/>
    <row r="496" ht="13" customHeight="1" s="51"/>
    <row r="497" ht="13" customHeight="1" s="51"/>
    <row r="498" ht="13" customHeight="1" s="51"/>
    <row r="499" ht="13" customHeight="1" s="51"/>
    <row r="500" ht="13" customHeight="1" s="51"/>
    <row r="501" ht="13" customHeight="1" s="51"/>
    <row r="502" ht="13" customHeight="1" s="51"/>
    <row r="503" ht="13" customHeight="1" s="51"/>
    <row r="504" ht="13" customHeight="1" s="51"/>
    <row r="505" ht="13" customHeight="1" s="51"/>
    <row r="506" ht="13" customHeight="1" s="51"/>
    <row r="507" ht="13" customHeight="1" s="51"/>
    <row r="508" ht="13" customHeight="1" s="51"/>
    <row r="509" ht="13" customHeight="1" s="51"/>
    <row r="510" ht="13" customHeight="1" s="51"/>
    <row r="511" ht="13" customHeight="1" s="51"/>
    <row r="512" ht="13" customHeight="1" s="51"/>
    <row r="513" ht="13" customHeight="1" s="51"/>
    <row r="514" ht="13" customHeight="1" s="51"/>
    <row r="515" ht="13" customHeight="1" s="51"/>
    <row r="516" ht="13" customHeight="1" s="51"/>
    <row r="517" ht="13" customHeight="1" s="51"/>
    <row r="518" ht="13" customHeight="1" s="51"/>
    <row r="519" ht="13" customHeight="1" s="51"/>
    <row r="520" ht="13" customHeight="1" s="51"/>
    <row r="521" ht="13" customHeight="1" s="51"/>
    <row r="522" ht="13" customHeight="1" s="51"/>
    <row r="523" ht="13" customHeight="1" s="51"/>
    <row r="524" ht="13" customHeight="1" s="51"/>
    <row r="525" ht="13" customHeight="1" s="51"/>
    <row r="526" ht="13" customHeight="1" s="51"/>
    <row r="527" ht="13" customHeight="1" s="51"/>
    <row r="528" ht="13" customHeight="1" s="51"/>
    <row r="529" ht="13" customHeight="1" s="51"/>
    <row r="530" ht="13" customHeight="1" s="51"/>
    <row r="531" ht="13" customHeight="1" s="51"/>
    <row r="532" ht="13" customHeight="1" s="51"/>
    <row r="533" ht="13" customHeight="1" s="51"/>
    <row r="534" ht="13" customHeight="1" s="51"/>
    <row r="535" ht="13" customHeight="1" s="51"/>
    <row r="536" ht="13" customHeight="1" s="51"/>
    <row r="537" ht="13" customHeight="1" s="51"/>
    <row r="538" ht="13" customHeight="1" s="51"/>
    <row r="539" ht="13" customHeight="1" s="51"/>
    <row r="540" ht="13" customHeight="1" s="51"/>
    <row r="541" ht="13" customHeight="1" s="51"/>
    <row r="542" ht="13" customHeight="1" s="51"/>
    <row r="543" ht="13" customHeight="1" s="51"/>
    <row r="544" ht="13" customHeight="1" s="51"/>
    <row r="545" ht="13" customHeight="1" s="51"/>
    <row r="546" ht="13" customHeight="1" s="51"/>
    <row r="547" ht="13" customHeight="1" s="51"/>
    <row r="548" ht="13" customHeight="1" s="51"/>
    <row r="549" ht="13" customHeight="1" s="51"/>
    <row r="550" ht="13" customHeight="1" s="51"/>
    <row r="551" ht="13" customHeight="1" s="51"/>
    <row r="552" ht="13" customHeight="1" s="51"/>
    <row r="553" ht="13" customHeight="1" s="51"/>
    <row r="554" ht="13" customHeight="1" s="51"/>
    <row r="555" ht="13" customHeight="1" s="51"/>
    <row r="556" ht="13" customHeight="1" s="51"/>
    <row r="557" ht="13" customHeight="1" s="51"/>
    <row r="558" ht="13" customHeight="1" s="51"/>
    <row r="559" ht="13" customHeight="1" s="51"/>
    <row r="560" ht="13" customHeight="1" s="51"/>
    <row r="561" ht="13" customHeight="1" s="51"/>
    <row r="562" ht="13" customHeight="1" s="51"/>
    <row r="563" ht="13" customHeight="1" s="51"/>
    <row r="564" ht="13" customHeight="1" s="51"/>
    <row r="565" ht="13" customHeight="1" s="51"/>
    <row r="566" ht="13" customHeight="1" s="51"/>
    <row r="567" ht="13" customHeight="1" s="51"/>
    <row r="568" ht="13" customHeight="1" s="51"/>
    <row r="569" ht="13" customHeight="1" s="51"/>
    <row r="570" ht="13" customHeight="1" s="51"/>
    <row r="571" ht="13" customHeight="1" s="51"/>
    <row r="572" ht="13" customHeight="1" s="51"/>
    <row r="573" ht="13" customHeight="1" s="51"/>
    <row r="574" ht="13" customHeight="1" s="51"/>
    <row r="575" ht="13" customHeight="1" s="51"/>
    <row r="576" ht="13" customHeight="1" s="51"/>
    <row r="577" ht="13" customHeight="1" s="51"/>
    <row r="578" ht="13" customHeight="1" s="51"/>
    <row r="579" ht="13" customHeight="1" s="51"/>
    <row r="580" ht="13" customHeight="1" s="51"/>
    <row r="581" ht="13" customHeight="1" s="51"/>
    <row r="582" ht="13" customHeight="1" s="51"/>
    <row r="583" ht="13" customHeight="1" s="51"/>
    <row r="584" ht="13" customHeight="1" s="51"/>
    <row r="585" ht="13" customHeight="1" s="51"/>
    <row r="586" ht="13" customHeight="1" s="51"/>
    <row r="587" ht="13" customHeight="1" s="51"/>
    <row r="588" ht="13" customHeight="1" s="51"/>
    <row r="589" ht="13" customHeight="1" s="51"/>
    <row r="590" ht="13" customHeight="1" s="51"/>
    <row r="591" ht="13" customHeight="1" s="51"/>
    <row r="592" ht="13" customHeight="1" s="51"/>
    <row r="593" ht="13" customHeight="1" s="51"/>
    <row r="594" ht="13" customHeight="1" s="51"/>
    <row r="595" ht="13" customHeight="1" s="51"/>
    <row r="596" ht="13" customHeight="1" s="51"/>
    <row r="597" ht="13" customHeight="1" s="51"/>
    <row r="598" ht="13" customHeight="1" s="51"/>
    <row r="599" ht="13" customHeight="1" s="51"/>
    <row r="600" ht="13" customHeight="1" s="51"/>
    <row r="601" ht="13" customHeight="1" s="51"/>
    <row r="602" ht="13" customHeight="1" s="51"/>
    <row r="603" ht="13" customHeight="1" s="51"/>
    <row r="604" ht="13" customHeight="1" s="51"/>
    <row r="605" ht="13" customHeight="1" s="51"/>
    <row r="606" ht="13" customHeight="1" s="51"/>
    <row r="607" ht="13" customHeight="1" s="51"/>
    <row r="608" ht="13" customHeight="1" s="51"/>
    <row r="609" ht="13" customHeight="1" s="51"/>
    <row r="610" ht="13" customHeight="1" s="51"/>
    <row r="611" ht="13" customHeight="1" s="51"/>
    <row r="612" ht="13" customHeight="1" s="51"/>
    <row r="613" ht="13" customHeight="1" s="51"/>
    <row r="614" ht="13" customHeight="1" s="51"/>
    <row r="615" ht="13" customHeight="1" s="51"/>
    <row r="616" ht="13" customHeight="1" s="51"/>
    <row r="617" ht="13" customHeight="1" s="51"/>
    <row r="618" ht="13" customHeight="1" s="51"/>
    <row r="619" ht="13" customHeight="1" s="51"/>
    <row r="620" ht="13" customHeight="1" s="51"/>
    <row r="621" ht="13" customHeight="1" s="51"/>
    <row r="622" ht="13" customHeight="1" s="51"/>
    <row r="623" ht="13" customHeight="1" s="51"/>
    <row r="624" ht="13" customHeight="1" s="51"/>
    <row r="625" ht="13" customHeight="1" s="51"/>
    <row r="626" ht="13" customHeight="1" s="51"/>
    <row r="627" ht="13" customHeight="1" s="51"/>
    <row r="628" ht="13" customHeight="1" s="51"/>
    <row r="629" ht="13" customHeight="1" s="51"/>
    <row r="630" ht="13" customHeight="1" s="51"/>
    <row r="631" ht="13" customHeight="1" s="51"/>
    <row r="632" ht="13" customHeight="1" s="51"/>
    <row r="633" ht="13" customHeight="1" s="51"/>
    <row r="634" ht="13" customHeight="1" s="51"/>
    <row r="635" ht="13" customHeight="1" s="51"/>
    <row r="636" ht="13" customHeight="1" s="51"/>
    <row r="637" ht="13" customHeight="1" s="51"/>
    <row r="638" ht="13" customHeight="1" s="51"/>
    <row r="639" ht="13" customHeight="1" s="51"/>
    <row r="640" ht="13" customHeight="1" s="51"/>
    <row r="641" ht="13" customHeight="1" s="51"/>
    <row r="642" ht="13" customHeight="1" s="51"/>
    <row r="643" ht="13" customHeight="1" s="51"/>
    <row r="644" ht="13" customHeight="1" s="51"/>
    <row r="645" ht="13" customHeight="1" s="51"/>
    <row r="646" ht="13" customHeight="1" s="51"/>
    <row r="647" ht="13" customHeight="1" s="51"/>
    <row r="648" ht="13" customHeight="1" s="51"/>
    <row r="649" ht="13" customHeight="1" s="51"/>
    <row r="650" ht="13" customHeight="1" s="51"/>
    <row r="651" ht="13" customHeight="1" s="51"/>
    <row r="652" ht="13" customHeight="1" s="51"/>
    <row r="653" ht="13" customHeight="1" s="51"/>
    <row r="654" ht="13" customHeight="1" s="51"/>
    <row r="655" ht="13" customHeight="1" s="51"/>
    <row r="656" ht="13" customHeight="1" s="51"/>
    <row r="657" ht="13" customHeight="1" s="51"/>
    <row r="658" ht="13" customHeight="1" s="51"/>
    <row r="659" ht="13" customHeight="1" s="51"/>
    <row r="660" ht="13" customHeight="1" s="51"/>
    <row r="661" ht="13" customHeight="1" s="51"/>
    <row r="662" ht="13" customHeight="1" s="51"/>
    <row r="663" ht="13" customHeight="1" s="51"/>
    <row r="664" ht="13" customHeight="1" s="51"/>
    <row r="665" ht="13" customHeight="1" s="51"/>
    <row r="666" ht="13" customHeight="1" s="51"/>
    <row r="667" ht="13" customHeight="1" s="51"/>
    <row r="668" ht="13" customHeight="1" s="51"/>
    <row r="669" ht="13" customHeight="1" s="51"/>
    <row r="670" ht="13" customHeight="1" s="51"/>
    <row r="671" ht="13" customHeight="1" s="51"/>
    <row r="672" ht="13" customHeight="1" s="51"/>
    <row r="673" ht="13" customHeight="1" s="51"/>
    <row r="674" ht="13" customHeight="1" s="51"/>
    <row r="675" ht="13" customHeight="1" s="51"/>
    <row r="676" ht="13" customHeight="1" s="51"/>
    <row r="677" ht="13" customHeight="1" s="51"/>
    <row r="678" ht="13" customHeight="1" s="51"/>
    <row r="679" ht="13" customHeight="1" s="51"/>
    <row r="680" ht="13" customHeight="1" s="51"/>
    <row r="681" ht="13" customHeight="1" s="51"/>
    <row r="682" ht="13" customHeight="1" s="51"/>
    <row r="683" ht="13" customHeight="1" s="51"/>
    <row r="684" ht="13" customHeight="1" s="51"/>
    <row r="685" ht="13" customHeight="1" s="51"/>
    <row r="686" ht="13" customHeight="1" s="51"/>
    <row r="687" ht="13" customHeight="1" s="51"/>
    <row r="688" ht="13" customHeight="1" s="51"/>
    <row r="689" ht="13" customHeight="1" s="51"/>
    <row r="690" ht="13" customHeight="1" s="51"/>
    <row r="691" ht="13" customHeight="1" s="51"/>
    <row r="692" ht="13" customHeight="1" s="51"/>
    <row r="693" ht="13" customHeight="1" s="51"/>
    <row r="694" ht="13" customHeight="1" s="51"/>
    <row r="695" ht="13" customHeight="1" s="51"/>
    <row r="696" ht="13" customHeight="1" s="51"/>
    <row r="697" ht="13" customHeight="1" s="51"/>
    <row r="698" ht="13" customHeight="1" s="51"/>
    <row r="699" ht="13" customHeight="1" s="51"/>
    <row r="700" ht="13" customHeight="1" s="51"/>
    <row r="701" ht="13" customHeight="1" s="51"/>
    <row r="702" ht="13" customHeight="1" s="51"/>
    <row r="703" ht="13" customHeight="1" s="51"/>
    <row r="704" ht="13" customHeight="1" s="51"/>
    <row r="705" ht="13" customHeight="1" s="51"/>
    <row r="706" ht="13" customHeight="1" s="51"/>
    <row r="707" ht="13" customHeight="1" s="51"/>
    <row r="708" ht="13" customHeight="1" s="51"/>
    <row r="709" ht="13" customHeight="1" s="51"/>
    <row r="710" ht="13" customHeight="1" s="51"/>
    <row r="711" ht="13" customHeight="1" s="51"/>
    <row r="712" ht="13" customHeight="1" s="51"/>
    <row r="713" ht="13" customHeight="1" s="51"/>
    <row r="714" ht="13" customHeight="1" s="51"/>
    <row r="715" ht="13" customHeight="1" s="51"/>
    <row r="716" ht="13" customHeight="1" s="51"/>
    <row r="717" ht="13" customHeight="1" s="51"/>
    <row r="718" ht="13" customHeight="1" s="51"/>
    <row r="719" ht="13" customHeight="1" s="51"/>
    <row r="720" ht="13" customHeight="1" s="51"/>
    <row r="721" ht="13" customHeight="1" s="51"/>
    <row r="722" ht="13" customHeight="1" s="51"/>
    <row r="723" ht="13" customHeight="1" s="51"/>
    <row r="724" ht="13" customHeight="1" s="51"/>
    <row r="725" ht="13" customHeight="1" s="51"/>
    <row r="726" ht="13" customHeight="1" s="51"/>
    <row r="727" ht="13" customHeight="1" s="51"/>
    <row r="728" ht="13" customHeight="1" s="51"/>
    <row r="729" ht="13" customHeight="1" s="51"/>
    <row r="730" ht="13" customHeight="1" s="51"/>
    <row r="731" ht="13" customHeight="1" s="51"/>
    <row r="732" ht="13" customHeight="1" s="51"/>
    <row r="733" ht="13" customHeight="1" s="51"/>
    <row r="734" ht="13" customHeight="1" s="51"/>
    <row r="735" ht="13" customHeight="1" s="51"/>
    <row r="736" ht="13" customHeight="1" s="51"/>
    <row r="737" ht="13" customHeight="1" s="51"/>
    <row r="738" ht="13" customHeight="1" s="51"/>
    <row r="739" ht="13" customHeight="1" s="51"/>
    <row r="740" ht="13" customHeight="1" s="51"/>
    <row r="741" ht="13" customHeight="1" s="51"/>
    <row r="742" ht="13" customHeight="1" s="51"/>
    <row r="743" ht="13" customHeight="1" s="51"/>
    <row r="744" ht="13" customHeight="1" s="51"/>
    <row r="745" ht="13" customHeight="1" s="51"/>
    <row r="746" ht="13" customHeight="1" s="51"/>
    <row r="747" ht="13" customHeight="1" s="51"/>
    <row r="748" ht="13" customHeight="1" s="51"/>
    <row r="749" ht="13" customHeight="1" s="51"/>
    <row r="750" ht="13" customHeight="1" s="51"/>
    <row r="751" ht="13" customHeight="1" s="51"/>
    <row r="752" ht="13" customHeight="1" s="51"/>
    <row r="753" ht="13" customHeight="1" s="51"/>
    <row r="754" ht="13" customHeight="1" s="51"/>
    <row r="755" ht="13" customHeight="1" s="51"/>
    <row r="756" ht="13" customHeight="1" s="51"/>
    <row r="757" ht="13" customHeight="1" s="51"/>
    <row r="758" ht="13" customHeight="1" s="51"/>
    <row r="759" ht="13" customHeight="1" s="51"/>
    <row r="760" ht="13" customHeight="1" s="51"/>
    <row r="761" ht="13" customHeight="1" s="51"/>
    <row r="762" ht="13" customHeight="1" s="51"/>
    <row r="763" ht="13" customHeight="1" s="51"/>
    <row r="764" ht="13" customHeight="1" s="51"/>
    <row r="765" ht="13" customHeight="1" s="51"/>
    <row r="766" ht="13" customHeight="1" s="51"/>
    <row r="767" ht="13" customHeight="1" s="51"/>
    <row r="768" ht="13" customHeight="1" s="51"/>
    <row r="769" ht="13" customHeight="1" s="51"/>
    <row r="770" ht="13" customHeight="1" s="51"/>
    <row r="771" ht="13" customHeight="1" s="51"/>
    <row r="772" ht="13" customHeight="1" s="51"/>
    <row r="773" ht="13" customHeight="1" s="51"/>
    <row r="774" ht="13" customHeight="1" s="51"/>
    <row r="775" ht="13" customHeight="1" s="51"/>
    <row r="776" ht="13" customHeight="1" s="51"/>
    <row r="777" ht="13" customHeight="1" s="51"/>
    <row r="778" ht="13" customHeight="1" s="51"/>
    <row r="779" ht="13" customHeight="1" s="51"/>
    <row r="780" ht="13" customHeight="1" s="51"/>
    <row r="781" ht="13" customHeight="1" s="51"/>
    <row r="782" ht="13" customHeight="1" s="51"/>
    <row r="783" ht="13" customHeight="1" s="51"/>
    <row r="784" ht="13" customHeight="1" s="51"/>
    <row r="785" ht="13" customHeight="1" s="51"/>
    <row r="786" ht="13" customHeight="1" s="51"/>
    <row r="787" ht="13" customHeight="1" s="51"/>
    <row r="788" ht="13" customHeight="1" s="51"/>
    <row r="789" ht="13" customHeight="1" s="51"/>
    <row r="790" ht="13" customHeight="1" s="51"/>
    <row r="791" ht="13" customHeight="1" s="51"/>
    <row r="792" ht="13" customHeight="1" s="51"/>
    <row r="793" ht="13" customHeight="1" s="51"/>
    <row r="794" ht="13" customHeight="1" s="51"/>
    <row r="795" ht="13" customHeight="1" s="51"/>
    <row r="796" ht="13" customHeight="1" s="51"/>
    <row r="797" ht="13" customHeight="1" s="51"/>
    <row r="798" ht="13" customHeight="1" s="51"/>
    <row r="799" ht="13" customHeight="1" s="51"/>
    <row r="800" ht="13" customHeight="1" s="51"/>
    <row r="801" ht="13" customHeight="1" s="51"/>
    <row r="802" ht="13" customHeight="1" s="51"/>
    <row r="803" ht="13" customHeight="1" s="51"/>
    <row r="804" ht="13" customHeight="1" s="51"/>
    <row r="805" ht="13" customHeight="1" s="51"/>
    <row r="806" ht="13" customHeight="1" s="51"/>
    <row r="807" ht="13" customHeight="1" s="51"/>
    <row r="808" ht="13" customHeight="1" s="51"/>
    <row r="809" ht="13" customHeight="1" s="51"/>
    <row r="810" ht="13" customHeight="1" s="51"/>
    <row r="811" ht="13" customHeight="1" s="51"/>
    <row r="812" ht="13" customHeight="1" s="51"/>
    <row r="813" ht="13" customHeight="1" s="51"/>
    <row r="814" ht="13" customHeight="1" s="51"/>
    <row r="815" ht="13" customHeight="1" s="51"/>
    <row r="816" ht="13" customHeight="1" s="51"/>
    <row r="817" ht="13" customHeight="1" s="51"/>
    <row r="818" ht="13" customHeight="1" s="51"/>
    <row r="819" ht="13" customHeight="1" s="51"/>
    <row r="820" ht="13" customHeight="1" s="51"/>
    <row r="821" ht="13" customHeight="1" s="51"/>
    <row r="822" ht="13" customHeight="1" s="51"/>
    <row r="823" ht="13" customHeight="1" s="51"/>
    <row r="824" ht="13" customHeight="1" s="51"/>
    <row r="825" ht="13" customHeight="1" s="51"/>
    <row r="826" ht="13" customHeight="1" s="51"/>
    <row r="827" ht="13" customHeight="1" s="51"/>
    <row r="828" ht="13" customHeight="1" s="51"/>
    <row r="829" ht="13" customHeight="1" s="51"/>
    <row r="830" ht="13" customHeight="1" s="51"/>
    <row r="831" ht="13" customHeight="1" s="51"/>
    <row r="832" ht="13" customHeight="1" s="51"/>
    <row r="833" ht="13" customHeight="1" s="51"/>
    <row r="834" ht="13" customHeight="1" s="51"/>
    <row r="835" ht="13" customHeight="1" s="51"/>
    <row r="836" ht="13" customHeight="1" s="51"/>
    <row r="837" ht="13" customHeight="1" s="51"/>
    <row r="838" ht="13" customHeight="1" s="51"/>
    <row r="839" ht="13" customHeight="1" s="51"/>
    <row r="840" ht="13" customHeight="1" s="51"/>
    <row r="841" ht="13" customHeight="1" s="51"/>
    <row r="842" ht="13" customHeight="1" s="51"/>
    <row r="843" ht="13" customHeight="1" s="51"/>
    <row r="844" ht="13" customHeight="1" s="51"/>
    <row r="845" ht="13" customHeight="1" s="51"/>
    <row r="846" ht="13" customHeight="1" s="51"/>
    <row r="847" ht="13" customHeight="1" s="51"/>
    <row r="848" ht="13" customHeight="1" s="51"/>
    <row r="849" ht="13" customHeight="1" s="51"/>
    <row r="850" ht="13" customHeight="1" s="51"/>
    <row r="851" ht="13" customHeight="1" s="51"/>
    <row r="852" ht="13" customHeight="1" s="51"/>
    <row r="853" ht="13" customHeight="1" s="51"/>
    <row r="854" ht="13" customHeight="1" s="51"/>
    <row r="855" ht="13" customHeight="1" s="51"/>
    <row r="856" ht="13" customHeight="1" s="51"/>
    <row r="857" ht="13" customHeight="1" s="51"/>
    <row r="858" ht="13" customHeight="1" s="51"/>
    <row r="859" ht="13" customHeight="1" s="51"/>
    <row r="860" ht="13" customHeight="1" s="51"/>
    <row r="861" ht="13" customHeight="1" s="51"/>
    <row r="862" ht="13" customHeight="1" s="51"/>
    <row r="863" ht="13" customHeight="1" s="51"/>
    <row r="864" ht="13" customHeight="1" s="51"/>
    <row r="865" ht="13" customHeight="1" s="51"/>
    <row r="866" ht="13" customHeight="1" s="51"/>
    <row r="867" ht="13" customHeight="1" s="51"/>
    <row r="868" ht="13" customHeight="1" s="51"/>
    <row r="869" ht="13" customHeight="1" s="51"/>
    <row r="870" ht="13" customHeight="1" s="51"/>
    <row r="871" ht="13" customHeight="1" s="51"/>
    <row r="872" ht="13" customHeight="1" s="51"/>
    <row r="873" ht="13" customHeight="1" s="51"/>
    <row r="874" ht="13" customHeight="1" s="51"/>
    <row r="875" ht="13" customHeight="1" s="51"/>
    <row r="876" ht="13" customHeight="1" s="51"/>
    <row r="877" ht="13" customHeight="1" s="51"/>
    <row r="878" ht="13" customHeight="1" s="51"/>
    <row r="879" ht="13" customHeight="1" s="51"/>
    <row r="880" ht="13" customHeight="1" s="51"/>
    <row r="881" ht="13" customHeight="1" s="51"/>
    <row r="882" ht="13" customHeight="1" s="51"/>
    <row r="883" ht="13" customHeight="1" s="51"/>
    <row r="884" ht="13" customHeight="1" s="51"/>
    <row r="885" ht="13" customHeight="1" s="51"/>
    <row r="886" ht="13" customHeight="1" s="51"/>
    <row r="887" ht="13" customHeight="1" s="51"/>
    <row r="888" ht="13" customHeight="1" s="51"/>
    <row r="889" ht="13" customHeight="1" s="51"/>
    <row r="890" ht="13" customHeight="1" s="51"/>
    <row r="891" ht="13" customHeight="1" s="51"/>
    <row r="892" ht="13" customHeight="1" s="51"/>
    <row r="893" ht="13" customHeight="1" s="51"/>
    <row r="894" ht="13" customHeight="1" s="51"/>
    <row r="895" ht="13" customHeight="1" s="51"/>
    <row r="896" ht="13" customHeight="1" s="51"/>
    <row r="897" ht="13" customHeight="1" s="51"/>
    <row r="898" ht="13" customHeight="1" s="51"/>
    <row r="899" ht="13" customHeight="1" s="51"/>
    <row r="900" ht="13" customHeight="1" s="51"/>
    <row r="901" ht="13" customHeight="1" s="51"/>
    <row r="902" ht="13" customHeight="1" s="51"/>
    <row r="903" ht="13" customHeight="1" s="51"/>
    <row r="904" ht="13" customHeight="1" s="51"/>
    <row r="905" ht="13" customHeight="1" s="51"/>
    <row r="906" ht="13" customHeight="1" s="51"/>
    <row r="907" ht="13" customHeight="1" s="51"/>
    <row r="908" ht="13" customHeight="1" s="51"/>
    <row r="909" ht="13" customHeight="1" s="51"/>
    <row r="910" ht="13" customHeight="1" s="51"/>
    <row r="911" ht="13" customHeight="1" s="51"/>
    <row r="912" ht="13" customHeight="1" s="51"/>
    <row r="913" ht="13" customHeight="1" s="51"/>
    <row r="914" ht="13" customHeight="1" s="51"/>
    <row r="915" ht="13" customHeight="1" s="51"/>
    <row r="916" ht="13" customHeight="1" s="51"/>
    <row r="917" ht="13" customHeight="1" s="51"/>
    <row r="918" ht="13" customHeight="1" s="51"/>
    <row r="919" ht="13" customHeight="1" s="51"/>
    <row r="920" ht="13" customHeight="1" s="51"/>
    <row r="921" ht="13" customHeight="1" s="51"/>
    <row r="922" ht="13" customHeight="1" s="51"/>
    <row r="923" ht="13" customHeight="1" s="51"/>
    <row r="924" ht="13" customHeight="1" s="51"/>
    <row r="925" ht="13" customHeight="1" s="51"/>
    <row r="926" ht="13" customHeight="1" s="51"/>
    <row r="927" ht="13" customHeight="1" s="51"/>
    <row r="928" ht="13" customHeight="1" s="51"/>
    <row r="929" ht="13" customHeight="1" s="51"/>
    <row r="930" ht="13" customHeight="1" s="51"/>
    <row r="931" ht="13" customHeight="1" s="51"/>
    <row r="932" ht="13" customHeight="1" s="51"/>
    <row r="933" ht="13" customHeight="1" s="51"/>
    <row r="934" ht="13" customHeight="1" s="51"/>
    <row r="935" ht="13" customHeight="1" s="51"/>
    <row r="936" ht="13" customHeight="1" s="51"/>
    <row r="937" ht="13" customHeight="1" s="51"/>
    <row r="938" ht="13" customHeight="1" s="51"/>
    <row r="939" ht="13" customHeight="1" s="51"/>
    <row r="940" ht="13" customHeight="1" s="51"/>
    <row r="941" ht="13" customHeight="1" s="51"/>
    <row r="942" ht="13" customHeight="1" s="51"/>
    <row r="943" ht="13" customHeight="1" s="51"/>
    <row r="944" ht="13" customHeight="1" s="51"/>
    <row r="945" ht="13" customHeight="1" s="51"/>
    <row r="946" ht="13" customHeight="1" s="51"/>
    <row r="947" ht="13" customHeight="1" s="51"/>
    <row r="948" ht="13" customHeight="1" s="51"/>
    <row r="949" ht="13" customHeight="1" s="51"/>
    <row r="950" ht="13" customHeight="1" s="51"/>
    <row r="951" ht="13" customHeight="1" s="51"/>
    <row r="952" ht="13" customHeight="1" s="51"/>
    <row r="953" ht="13" customHeight="1" s="51"/>
    <row r="954" ht="13" customHeight="1" s="51"/>
    <row r="955" ht="13" customHeight="1" s="51"/>
    <row r="956" ht="13" customHeight="1" s="51"/>
    <row r="957" ht="13" customHeight="1" s="51"/>
    <row r="958" ht="13" customHeight="1" s="51"/>
    <row r="959" ht="13" customHeight="1" s="51"/>
    <row r="960" ht="13" customHeight="1" s="51"/>
    <row r="961" ht="13" customHeight="1" s="51"/>
    <row r="962" ht="13" customHeight="1" s="51"/>
    <row r="963" ht="13" customHeight="1" s="51"/>
    <row r="964" ht="13" customHeight="1" s="51"/>
    <row r="965" ht="13" customHeight="1" s="51"/>
    <row r="966" ht="13" customHeight="1" s="51"/>
    <row r="967" ht="13" customHeight="1" s="51"/>
    <row r="968" ht="13" customHeight="1" s="51"/>
    <row r="969" ht="13" customHeight="1" s="51"/>
    <row r="970" ht="13" customHeight="1" s="51"/>
    <row r="971" ht="13" customHeight="1" s="51"/>
    <row r="972" ht="13" customHeight="1" s="51"/>
    <row r="973" ht="13" customHeight="1" s="51"/>
    <row r="974" ht="13" customHeight="1" s="51"/>
    <row r="975" ht="13" customHeight="1" s="51"/>
    <row r="976" ht="13" customHeight="1" s="51"/>
    <row r="977" ht="13" customHeight="1" s="51"/>
    <row r="978" ht="13" customHeight="1" s="51"/>
    <row r="979" ht="13" customHeight="1" s="51"/>
    <row r="980" ht="13" customHeight="1" s="51"/>
    <row r="981" ht="13" customHeight="1" s="51"/>
    <row r="982" ht="13" customHeight="1" s="51"/>
    <row r="983" ht="13" customHeight="1" s="51"/>
    <row r="984" ht="13" customHeight="1" s="51"/>
    <row r="985" ht="13" customHeight="1" s="51"/>
    <row r="986" ht="13" customHeight="1" s="51"/>
    <row r="987" ht="13" customHeight="1" s="51"/>
    <row r="988" ht="13" customHeight="1" s="5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2026-06-01T03:13:58Z</dcterms:created>
  <dcterms:modified xmlns:dcterms="http://purl.org/dc/terms/" xmlns:xsi="http://www.w3.org/2001/XMLSchema-instance" xsi:type="dcterms:W3CDTF">2026-07-13T12:33:38Z</dcterms:modified>
  <cp:lastModifiedBy>Michał Michaluk</cp:lastModifiedBy>
</cp:coreProperties>
</file>