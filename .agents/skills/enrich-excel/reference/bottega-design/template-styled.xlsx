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620" yWindow="22260" windowWidth="25960" windowHeight="18980" tabRatio="600" firstSheet="0" autoFilterDateGrouping="1"/>
  </bookViews>
  <sheets>
    <sheet xmlns:r="http://schemas.openxmlformats.org/officeDocument/2006/relationships" name="Offer Overview" sheetId="1" state="visible" r:id="rId1"/>
    <sheet xmlns:r="http://schemas.openxmlformats.org/officeDocument/2006/relationships" name="Podsumowani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[$PLN]\ * #,##0.00_);_([$PLN]\ * \(#,##0.00\);_([$PLN]\ * &quot;-&quot;??_);_(@_)"/>
    <numFmt numFmtId="165" formatCode="#,##0\ &quot;PLN&quot;"/>
  </numFmts>
  <fonts count="25">
    <font>
      <name val="Arial"/>
      <color rgb="FF000000"/>
      <sz val="10"/>
      <scheme val="minor"/>
    </font>
    <font>
      <name val="Aptos"/>
      <color theme="1"/>
      <sz val="11"/>
    </font>
    <font>
      <name val="Arial"/>
      <family val="2"/>
      <color theme="1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theme="1"/>
      <sz val="11"/>
    </font>
    <font>
      <name val="Aptos"/>
      <b val="1"/>
      <color theme="1"/>
      <sz val="11"/>
    </font>
    <font>
      <name val="Arial"/>
      <family val="2"/>
      <color theme="1"/>
      <sz val="11"/>
    </font>
    <font>
      <name val="Calibri"/>
      <family val="2"/>
      <b val="1"/>
      <color theme="1"/>
      <sz val="11"/>
    </font>
    <font>
      <name val="Arial"/>
      <family val="2"/>
      <color rgb="FF000000"/>
      <sz val="10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i val="1"/>
      <color rgb="FF000000"/>
      <sz val="10"/>
      <scheme val="minor"/>
    </font>
    <font>
      <name val="Calibri"/>
      <family val="2"/>
      <color rgb="FF1A1A1A"/>
      <sz val="11"/>
    </font>
    <font>
      <name val="Work Sans"/>
      <b val="1"/>
      <color rgb="FFFEFEFE"/>
      <sz val="14"/>
    </font>
    <font>
      <name val="Work Sans"/>
      <b val="1"/>
      <color rgb="FFFEFEFE"/>
      <sz val="11"/>
    </font>
    <font>
      <name val="Open Sans"/>
      <family val="2"/>
      <b val="1"/>
      <color rgb="FFFF5D24"/>
      <sz val="11"/>
    </font>
    <font>
      <name val="Open Sans"/>
      <family val="2"/>
      <color rgb="FFFF5D24"/>
      <sz val="11"/>
    </font>
    <font>
      <name val="Open Sans"/>
      <family val="2"/>
      <color rgb="FF0A0A0A"/>
      <sz val="11"/>
    </font>
    <font>
      <name val="Work Sans"/>
      <b val="1"/>
      <color rgb="FFFEFEFE"/>
      <sz val="18"/>
    </font>
    <font>
      <name val="Open Sans"/>
      <family val="2"/>
      <b val="1"/>
      <color rgb="FF0A0A0A"/>
      <sz val="11"/>
    </font>
    <font>
      <name val="Work Sans"/>
      <b val="1"/>
      <color rgb="FFFEFEFE"/>
      <sz val="14"/>
    </font>
    <font>
      <name val="Work Sans"/>
      <b val="1"/>
      <color rgb="FFFEFEFE"/>
      <sz val="12"/>
    </font>
    <font>
      <name val="Work Sans"/>
      <b val="1"/>
      <color rgb="FFFF5D24"/>
      <sz val="12"/>
    </font>
    <font>
      <name val="Open Sans"/>
      <family val="2"/>
      <b val="1"/>
      <color theme="1"/>
      <sz val="11"/>
    </font>
    <font>
      <name val="Open Sans"/>
      <color rgb="000a0a0a"/>
      <sz val="11"/>
    </font>
    <font>
      <name val="Work Sans"/>
      <color rgb="00FF5D24"/>
      <sz val="8"/>
    </font>
  </fonts>
  <fills count="8">
    <fill>
      <patternFill/>
    </fill>
    <fill>
      <patternFill patternType="gray125"/>
    </fill>
    <fill>
      <patternFill patternType="solid">
        <fgColor rgb="FF293250"/>
        <bgColor rgb="FF293250"/>
      </patternFill>
    </fill>
    <fill>
      <patternFill patternType="solid">
        <fgColor rgb="FFFF5D24"/>
        <bgColor rgb="FFFF5D24"/>
      </patternFill>
    </fill>
    <fill>
      <patternFill patternType="solid">
        <fgColor rgb="FFEAEEF6"/>
        <bgColor rgb="FFEAEEF6"/>
      </patternFill>
    </fill>
    <fill>
      <patternFill patternType="solid">
        <fgColor rgb="FFFFFFFF"/>
        <bgColor rgb="FFFFFFFF"/>
      </patternFill>
    </fill>
    <fill>
      <patternFill patternType="solid">
        <fgColor rgb="00ffffff"/>
        <bgColor rgb="00ffffff"/>
      </patternFill>
    </fill>
    <fill>
      <patternFill patternType="solid">
        <fgColor rgb="00eaeef6"/>
        <bgColor rgb="00eaeef6"/>
      </patternFill>
    </fill>
  </fills>
  <borders count="2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 style="thin">
        <color rgb="FF343D5A"/>
      </right>
      <top/>
      <bottom style="thin">
        <color rgb="FF343D5A"/>
      </bottom>
      <diagonal/>
    </border>
    <border>
      <left style="thin">
        <color rgb="FF343D5A"/>
      </left>
      <right style="thin">
        <color rgb="FF343D5A"/>
      </right>
      <top style="thin">
        <color rgb="FF343D5A"/>
      </top>
      <bottom style="thin">
        <color rgb="FF343D5A"/>
      </bottom>
      <diagonal/>
    </border>
    <border>
      <left style="thin">
        <color rgb="FF343D5A"/>
      </left>
      <right style="thin">
        <color rgb="FF343D5A"/>
      </right>
      <top/>
      <bottom/>
      <diagonal/>
    </border>
    <border>
      <left style="thin">
        <color rgb="FF343D5A"/>
      </left>
      <right style="thin">
        <color rgb="FF343D5A"/>
      </right>
      <top/>
      <bottom style="thin">
        <color rgb="FF343D5A"/>
      </bottom>
      <diagonal/>
    </border>
    <border>
      <left/>
      <right/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/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 style="thin">
        <color rgb="FF343D5A"/>
      </right>
      <top/>
      <bottom/>
      <diagonal/>
    </border>
    <border>
      <left/>
      <right/>
      <top/>
      <bottom style="thin">
        <color rgb="FF343D5A"/>
      </bottom>
      <diagonal/>
    </border>
    <border>
      <left style="thin">
        <color rgb="FF343D5A"/>
      </left>
      <right/>
      <top/>
      <bottom/>
      <diagonal/>
    </border>
    <border>
      <left/>
      <right/>
      <top style="thin">
        <color rgb="FF343D5A"/>
      </top>
      <bottom/>
      <diagonal/>
    </border>
    <border>
      <left/>
      <right style="thin">
        <color rgb="FF343D5A"/>
      </right>
      <top style="thin">
        <color rgb="FF343D5A"/>
      </top>
      <bottom/>
      <diagonal/>
    </border>
    <border>
      <left/>
      <right style="thin">
        <color rgb="FF343D5A"/>
      </right>
      <top style="thin">
        <color rgb="FF343D5A"/>
      </top>
      <bottom style="thin">
        <color rgb="FF343D5A"/>
      </bottom>
      <diagonal/>
    </border>
    <border>
      <left style="thin">
        <color rgb="00343d5a"/>
      </left>
      <right style="thin">
        <color rgb="00343d5a"/>
      </right>
      <top style="thin">
        <color rgb="00343d5a"/>
      </top>
      <bottom style="thin">
        <color rgb="00343d5a"/>
      </bottom>
    </border>
    <border>
      <left/>
      <right/>
      <top style="thin">
        <color rgb="00343d5a"/>
      </top>
      <bottom/>
      <diagonal/>
    </border>
    <border>
      <left/>
      <right style="thin">
        <color rgb="00343d5a"/>
      </right>
      <top style="thin">
        <color rgb="00343d5a"/>
      </top>
      <bottom/>
      <diagonal/>
    </border>
    <border>
      <left/>
      <right style="thin">
        <color rgb="00343d5a"/>
      </right>
      <top style="thin">
        <color rgb="00343d5a"/>
      </top>
      <bottom style="thin">
        <color rgb="00343d5a"/>
      </bottom>
      <diagonal/>
    </border>
  </borders>
  <cellStyleXfs count="2">
    <xf numFmtId="0" fontId="0" fillId="0" borderId="0"/>
    <xf numFmtId="44" fontId="8" fillId="0" borderId="0"/>
  </cellStyleXfs>
  <cellXfs count="109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1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/>
    </xf>
    <xf numFmtId="164" fontId="2" fillId="0" borderId="0" pivotButton="0" quotePrefix="0" xfId="1"/>
    <xf numFmtId="164" fontId="0" fillId="0" borderId="0" pivotButton="0" quotePrefix="0" xfId="1"/>
    <xf numFmtId="164" fontId="1" fillId="0" borderId="0" applyAlignment="1" pivotButton="0" quotePrefix="0" xfId="1">
      <alignment vertical="top"/>
    </xf>
    <xf numFmtId="164" fontId="0" fillId="0" borderId="0" pivotButton="0" quotePrefix="0" xfId="0"/>
    <xf numFmtId="164" fontId="1" fillId="0" borderId="0" pivotButton="0" quotePrefix="0" xfId="0"/>
    <xf numFmtId="164" fontId="8" fillId="0" borderId="0" pivotButton="0" quotePrefix="0" xfId="1"/>
    <xf numFmtId="0" fontId="1" fillId="2" borderId="3" applyAlignment="1" pivotButton="0" quotePrefix="0" xfId="0">
      <alignment vertical="top"/>
    </xf>
    <xf numFmtId="0" fontId="0" fillId="2" borderId="3" pivotButton="0" quotePrefix="0" xfId="0"/>
    <xf numFmtId="0" fontId="13" fillId="3" borderId="3" applyAlignment="1" pivotButton="0" quotePrefix="0" xfId="0">
      <alignment horizontal="center" vertical="center" wrapText="1"/>
    </xf>
    <xf numFmtId="0" fontId="14" fillId="4" borderId="3" applyAlignment="1" pivotButton="0" quotePrefix="0" xfId="0">
      <alignment horizontal="left" vertical="center" wrapText="1"/>
    </xf>
    <xf numFmtId="0" fontId="7" fillId="4" borderId="3" applyAlignment="1" pivotButton="0" quotePrefix="0" xfId="0">
      <alignment vertical="top"/>
    </xf>
    <xf numFmtId="0" fontId="0" fillId="4" borderId="3" pivotButton="0" quotePrefix="0" xfId="0"/>
    <xf numFmtId="0" fontId="1" fillId="4" borderId="3" applyAlignment="1" pivotButton="0" quotePrefix="0" xfId="0">
      <alignment vertical="top"/>
    </xf>
    <xf numFmtId="0" fontId="15" fillId="4" borderId="3" applyAlignment="1" pivotButton="0" quotePrefix="0" xfId="0">
      <alignment horizontal="right" vertical="center"/>
    </xf>
    <xf numFmtId="0" fontId="14" fillId="5" borderId="3" applyAlignment="1" pivotButton="0" quotePrefix="0" xfId="0">
      <alignment horizontal="left" vertical="center" wrapText="1"/>
    </xf>
    <xf numFmtId="0" fontId="1" fillId="5" borderId="3" applyAlignment="1" pivotButton="0" quotePrefix="0" xfId="0">
      <alignment vertical="top"/>
    </xf>
    <xf numFmtId="0" fontId="16" fillId="5" borderId="3" applyAlignment="1" pivotButton="0" quotePrefix="0" xfId="0">
      <alignment horizontal="left" vertical="center" wrapText="1"/>
    </xf>
    <xf numFmtId="0" fontId="0" fillId="5" borderId="3" pivotButton="0" quotePrefix="0" xfId="0"/>
    <xf numFmtId="0" fontId="16" fillId="4" borderId="3" applyAlignment="1" pivotButton="0" quotePrefix="0" xfId="0">
      <alignment horizontal="left" vertical="center" wrapText="1"/>
    </xf>
    <xf numFmtId="164" fontId="15" fillId="4" borderId="3" applyAlignment="1" pivotButton="0" quotePrefix="0" xfId="1">
      <alignment horizontal="right" vertical="center"/>
    </xf>
    <xf numFmtId="0" fontId="10" fillId="4" borderId="3" pivotButton="0" quotePrefix="0" xfId="0"/>
    <xf numFmtId="164" fontId="15" fillId="5" borderId="3" applyAlignment="1" pivotButton="0" quotePrefix="0" xfId="1">
      <alignment horizontal="right" vertical="center"/>
    </xf>
    <xf numFmtId="164" fontId="14" fillId="4" borderId="3" applyAlignment="1" pivotButton="0" quotePrefix="0" xfId="1">
      <alignment horizontal="right" vertical="center"/>
    </xf>
    <xf numFmtId="0" fontId="5" fillId="5" borderId="3" applyAlignment="1" pivotButton="0" quotePrefix="0" xfId="0">
      <alignment vertical="top"/>
    </xf>
    <xf numFmtId="164" fontId="9" fillId="5" borderId="3" pivotButton="0" quotePrefix="0" xfId="1"/>
    <xf numFmtId="164" fontId="14" fillId="5" borderId="3" applyAlignment="1" pivotButton="0" quotePrefix="0" xfId="1">
      <alignment horizontal="right" vertical="center"/>
    </xf>
    <xf numFmtId="0" fontId="1" fillId="2" borderId="3" pivotButton="0" quotePrefix="0" xfId="0"/>
    <xf numFmtId="164" fontId="2" fillId="2" borderId="3" pivotButton="0" quotePrefix="0" xfId="1"/>
    <xf numFmtId="164" fontId="13" fillId="3" borderId="3" applyAlignment="1" pivotButton="0" quotePrefix="0" xfId="0">
      <alignment horizontal="center" vertical="center" wrapText="1"/>
    </xf>
    <xf numFmtId="0" fontId="1" fillId="4" borderId="3" pivotButton="0" quotePrefix="0" xfId="0"/>
    <xf numFmtId="0" fontId="1" fillId="4" borderId="3" applyAlignment="1" pivotButton="0" quotePrefix="0" xfId="0">
      <alignment wrapText="1"/>
    </xf>
    <xf numFmtId="164" fontId="2" fillId="4" borderId="3" pivotButton="0" quotePrefix="0" xfId="1"/>
    <xf numFmtId="164" fontId="2" fillId="4" borderId="3" pivotButton="0" quotePrefix="0" xfId="0"/>
    <xf numFmtId="0" fontId="1" fillId="5" borderId="3" pivotButton="0" quotePrefix="0" xfId="0"/>
    <xf numFmtId="0" fontId="1" fillId="5" borderId="3" applyAlignment="1" pivotButton="0" quotePrefix="0" xfId="0">
      <alignment wrapText="1"/>
    </xf>
    <xf numFmtId="164" fontId="2" fillId="5" borderId="3" pivotButton="0" quotePrefix="0" xfId="1"/>
    <xf numFmtId="164" fontId="2" fillId="5" borderId="3" pivotButton="0" quotePrefix="0" xfId="0"/>
    <xf numFmtId="0" fontId="1" fillId="4" borderId="3" applyAlignment="1" pivotButton="0" quotePrefix="0" xfId="0">
      <alignment horizontal="right"/>
    </xf>
    <xf numFmtId="0" fontId="1" fillId="5" borderId="3" applyAlignment="1" pivotButton="0" quotePrefix="0" xfId="0">
      <alignment horizontal="right"/>
    </xf>
    <xf numFmtId="164" fontId="16" fillId="5" borderId="3" applyAlignment="1" pivotButton="0" quotePrefix="0" xfId="0">
      <alignment horizontal="left" vertical="center" wrapText="1"/>
    </xf>
    <xf numFmtId="164" fontId="16" fillId="4" borderId="3" applyAlignment="1" pivotButton="0" quotePrefix="0" xfId="0">
      <alignment horizontal="left" vertical="center" wrapText="1"/>
    </xf>
    <xf numFmtId="164" fontId="15" fillId="4" borderId="3" applyAlignment="1" pivotButton="0" quotePrefix="0" xfId="0">
      <alignment horizontal="right" vertical="center"/>
    </xf>
    <xf numFmtId="164" fontId="15" fillId="5" borderId="3" applyAlignment="1" pivotButton="0" quotePrefix="0" xfId="0">
      <alignment horizontal="right" vertical="center"/>
    </xf>
    <xf numFmtId="164" fontId="1" fillId="5" borderId="3" applyAlignment="1" pivotButton="0" quotePrefix="0" xfId="0">
      <alignment horizontal="right"/>
    </xf>
    <xf numFmtId="0" fontId="5" fillId="5" borderId="3" applyAlignment="1" pivotButton="0" quotePrefix="0" xfId="0">
      <alignment horizontal="right"/>
    </xf>
    <xf numFmtId="164" fontId="14" fillId="5" borderId="3" applyAlignment="1" pivotButton="0" quotePrefix="0" xfId="1">
      <alignment horizontal="left" vertical="center" wrapText="1"/>
    </xf>
    <xf numFmtId="0" fontId="2" fillId="5" borderId="3" pivotButton="0" quotePrefix="0" xfId="0"/>
    <xf numFmtId="164" fontId="16" fillId="5" borderId="3" applyAlignment="1" pivotButton="0" quotePrefix="0" xfId="1">
      <alignment horizontal="left" vertical="center" wrapText="1"/>
    </xf>
    <xf numFmtId="164" fontId="16" fillId="4" borderId="3" applyAlignment="1" pivotButton="0" quotePrefix="0" xfId="1">
      <alignment horizontal="left" vertical="center" wrapText="1"/>
    </xf>
    <xf numFmtId="164" fontId="1" fillId="2" borderId="3" pivotButton="0" quotePrefix="0" xfId="0"/>
    <xf numFmtId="164" fontId="1" fillId="4" borderId="3" pivotButton="0" quotePrefix="0" xfId="0"/>
    <xf numFmtId="164" fontId="1" fillId="5" borderId="3" pivotButton="0" quotePrefix="0" xfId="0"/>
    <xf numFmtId="164" fontId="1" fillId="4" borderId="3" applyAlignment="1" pivotButton="0" quotePrefix="0" xfId="0">
      <alignment horizontal="right"/>
    </xf>
    <xf numFmtId="164" fontId="0" fillId="4" borderId="3" pivotButton="0" quotePrefix="0" xfId="0"/>
    <xf numFmtId="164" fontId="0" fillId="5" borderId="3" pivotButton="0" quotePrefix="0" xfId="0"/>
    <xf numFmtId="0" fontId="5" fillId="4" borderId="3" pivotButton="0" quotePrefix="0" xfId="0"/>
    <xf numFmtId="164" fontId="5" fillId="4" borderId="3" applyAlignment="1" pivotButton="0" quotePrefix="0" xfId="0">
      <alignment horizontal="right"/>
    </xf>
    <xf numFmtId="164" fontId="1" fillId="2" borderId="3" applyAlignment="1" pivotButton="0" quotePrefix="0" xfId="1">
      <alignment vertical="top"/>
    </xf>
    <xf numFmtId="164" fontId="13" fillId="3" borderId="3" applyAlignment="1" pivotButton="0" quotePrefix="0" xfId="1">
      <alignment horizontal="center" vertical="center" wrapText="1"/>
    </xf>
    <xf numFmtId="164" fontId="1" fillId="4" borderId="3" applyAlignment="1" pivotButton="0" quotePrefix="0" xfId="1">
      <alignment vertical="top"/>
    </xf>
    <xf numFmtId="164" fontId="1" fillId="5" borderId="3" applyAlignment="1" pivotButton="0" quotePrefix="0" xfId="1">
      <alignment vertical="top"/>
    </xf>
    <xf numFmtId="164" fontId="1" fillId="4" borderId="3" applyAlignment="1" pivotButton="0" quotePrefix="0" xfId="1">
      <alignment horizontal="right" vertical="top"/>
    </xf>
    <xf numFmtId="164" fontId="1" fillId="5" borderId="3" applyAlignment="1" pivotButton="0" quotePrefix="0" xfId="1">
      <alignment horizontal="right" vertical="top"/>
    </xf>
    <xf numFmtId="164" fontId="6" fillId="4" borderId="3" applyAlignment="1" pivotButton="0" quotePrefix="0" xfId="1">
      <alignment horizontal="right" vertical="top"/>
    </xf>
    <xf numFmtId="164" fontId="6" fillId="5" borderId="3" applyAlignment="1" pivotButton="0" quotePrefix="0" xfId="1">
      <alignment horizontal="right" vertical="top"/>
    </xf>
    <xf numFmtId="0" fontId="1" fillId="4" borderId="3" applyAlignment="1" pivotButton="0" quotePrefix="0" xfId="0">
      <alignment horizontal="left" vertical="top" wrapText="1"/>
    </xf>
    <xf numFmtId="164" fontId="1" fillId="4" borderId="3" applyAlignment="1" pivotButton="0" quotePrefix="0" xfId="1">
      <alignment horizontal="right"/>
    </xf>
    <xf numFmtId="0" fontId="1" fillId="5" borderId="3" applyAlignment="1" pivotButton="0" quotePrefix="0" xfId="0">
      <alignment horizontal="left" vertical="top" wrapText="1"/>
    </xf>
    <xf numFmtId="164" fontId="1" fillId="5" borderId="3" applyAlignment="1" pivotButton="0" quotePrefix="0" xfId="1">
      <alignment horizontal="right"/>
    </xf>
    <xf numFmtId="164" fontId="1" fillId="4" borderId="3" pivotButton="0" quotePrefix="0" xfId="1"/>
    <xf numFmtId="164" fontId="1" fillId="5" borderId="3" pivotButton="0" quotePrefix="0" xfId="1"/>
    <xf numFmtId="164" fontId="5" fillId="4" borderId="3" applyAlignment="1" pivotButton="0" quotePrefix="0" xfId="1">
      <alignment horizontal="right"/>
    </xf>
    <xf numFmtId="0" fontId="1" fillId="5" borderId="3" applyAlignment="1" pivotButton="0" quotePrefix="0" xfId="0">
      <alignment vertical="top" wrapText="1"/>
    </xf>
    <xf numFmtId="0" fontId="15" fillId="5" borderId="3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 wrapText="1"/>
    </xf>
    <xf numFmtId="0" fontId="18" fillId="5" borderId="3" applyAlignment="1" pivotButton="0" quotePrefix="0" xfId="0">
      <alignment horizontal="left" vertical="center" wrapText="1"/>
    </xf>
    <xf numFmtId="0" fontId="18" fillId="4" borderId="3" applyAlignment="1" pivotButton="0" quotePrefix="0" xfId="0">
      <alignment horizontal="left" vertical="center" wrapText="1"/>
    </xf>
    <xf numFmtId="0" fontId="11" fillId="5" borderId="3" applyAlignment="1" pivotButton="0" quotePrefix="0" xfId="0">
      <alignment horizontal="left" vertical="top" wrapText="1"/>
    </xf>
    <xf numFmtId="165" fontId="15" fillId="4" borderId="3" applyAlignment="1" pivotButton="0" quotePrefix="0" xfId="0">
      <alignment horizontal="right" vertical="center"/>
    </xf>
    <xf numFmtId="0" fontId="20" fillId="2" borderId="1" applyAlignment="1" pivotButton="0" quotePrefix="0" xfId="0">
      <alignment horizontal="left" vertical="center" wrapText="1"/>
    </xf>
    <xf numFmtId="165" fontId="21" fillId="2" borderId="1" applyAlignment="1" pivotButton="0" quotePrefix="0" xfId="0">
      <alignment horizontal="right" vertical="center"/>
    </xf>
    <xf numFmtId="0" fontId="13" fillId="2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left" vertical="center" wrapText="1"/>
    </xf>
    <xf numFmtId="0" fontId="0" fillId="3" borderId="3" pivotButton="0" quotePrefix="0" xfId="0"/>
    <xf numFmtId="0" fontId="17" fillId="2" borderId="2" applyAlignment="1" pivotButton="0" quotePrefix="0" xfId="0">
      <alignment horizontal="center" vertical="center" wrapText="1"/>
    </xf>
    <xf numFmtId="0" fontId="0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8" fillId="4" borderId="3" applyAlignment="1" pivotButton="0" quotePrefix="0" xfId="0">
      <alignment horizontal="left" vertical="center" wrapText="1"/>
    </xf>
    <xf numFmtId="0" fontId="18" fillId="5" borderId="3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9" fillId="0" borderId="4" pivotButton="0" quotePrefix="0" xfId="0"/>
    <xf numFmtId="0" fontId="9" fillId="0" borderId="5" pivotButton="0" quotePrefix="0" xfId="0"/>
    <xf numFmtId="0" fontId="22" fillId="4" borderId="3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2" pivotButton="0" quotePrefix="0" xfId="0"/>
    <xf numFmtId="0" fontId="0" fillId="0" borderId="8" pivotButton="0" quotePrefix="0" xfId="0"/>
    <xf numFmtId="0" fontId="0" fillId="0" borderId="9" pivotButton="0" quotePrefix="0" xfId="0"/>
    <xf numFmtId="0" fontId="23" fillId="6" borderId="16" applyAlignment="1" pivotButton="0" quotePrefix="0" xfId="0">
      <alignment horizontal="left" vertical="center" wrapText="1"/>
    </xf>
    <xf numFmtId="0" fontId="0" fillId="6" borderId="16" pivotButton="0" quotePrefix="0" xfId="0"/>
    <xf numFmtId="0" fontId="23" fillId="7" borderId="16" applyAlignment="1" pivotButton="0" quotePrefix="0" xfId="0">
      <alignment horizontal="left" vertical="center" wrapText="1"/>
    </xf>
    <xf numFmtId="0" fontId="0" fillId="7" borderId="16" pivotButton="0" quotePrefix="0" xfId="0"/>
    <xf numFmtId="0" fontId="24" fillId="0" borderId="0" pivotButton="0" quotePrefix="0" xfId="0"/>
    <xf numFmtId="0" fontId="0" fillId="0" borderId="19" pivotButton="0" quotePrefix="0" xfId="0"/>
  </cellXfs>
  <cellStyles count="2">
    <cellStyle name="Normal" xfId="0" builtinId="0"/>
    <cellStyle name="Currency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_rels/drawing2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drawing1.xml><?xml version="1.0" encoding="utf-8"?>
<wsDr xmlns="http://schemas.openxmlformats.org/drawingml/2006/spreadsheetDrawing">
  <oneCellAnchor>
    <from>
      <col>0</col>
      <colOff>101600</colOff>
      <row>0</row>
      <rowOff>127000</rowOff>
    </from>
    <ext cx="1333500" cy="4286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1600" y="127000"/>
          <a:ext cx="1333500" cy="4286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0</row>
      <rowOff>0</rowOff>
    </from>
    <ext cx="1333500" cy="428625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0</row>
      <rowOff>0</rowOff>
    </from>
    <ext cx="1333500" cy="428625"/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0</row>
      <rowOff>0</rowOff>
    </from>
    <ext cx="1333500" cy="428625"/>
    <pic>
      <nvPicPr>
        <cNvPr id="5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0</row>
      <rowOff>0</rowOff>
    </from>
    <ext cx="1333500" cy="428625"/>
    <pic>
      <nvPicPr>
        <cNvPr id="6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0</row>
      <rowOff>0</rowOff>
    </from>
    <ext cx="1333500" cy="428625"/>
    <pic>
      <nvPicPr>
        <cNvPr id="7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0</row>
      <rowOff>0</rowOff>
    </from>
    <ext cx="1333500" cy="4286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0</row>
      <rowOff>0</rowOff>
    </from>
    <ext cx="1333500" cy="428625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32" sqref="A30:A32"/>
    </sheetView>
  </sheetViews>
  <sheetFormatPr baseColWidth="10" defaultColWidth="8.83203125" defaultRowHeight="13"/>
  <cols>
    <col width="36" customWidth="1" min="1" max="1"/>
    <col width="55" customWidth="1" min="2" max="2"/>
    <col width="16" customWidth="1" min="3" max="4"/>
    <col width="20" customWidth="1" min="5" max="5"/>
    <col width="23.1640625" customWidth="1" min="6" max="6"/>
  </cols>
  <sheetData>
    <row r="1" ht="50" customHeight="1">
      <c r="A1" s="89" t="inlineStr">
        <is>
          <t>AI SDLC — Oferta wdrożenia</t>
        </is>
      </c>
      <c r="B1" s="99" t="n"/>
      <c r="C1" s="99" t="n"/>
      <c r="D1" s="99" t="n"/>
      <c r="E1" s="99" t="n"/>
      <c r="F1" s="100" t="n"/>
      <c r="G1" s="107" t="inlineStr">
        <is>
          <t>SZABLON STYLU</t>
        </is>
      </c>
    </row>
    <row r="2" ht="30" customHeight="1">
      <c r="A2" s="22" t="n"/>
      <c r="B2" s="22" t="n"/>
      <c r="C2" s="22" t="n"/>
      <c r="D2" s="22" t="n"/>
      <c r="E2" s="22" t="n"/>
      <c r="F2" s="22" t="n"/>
    </row>
    <row r="3" ht="30" customHeight="1">
      <c r="A3" s="87" t="inlineStr">
        <is>
          <t>Executive Summary</t>
        </is>
      </c>
      <c r="B3" s="101" t="n"/>
      <c r="C3" s="101" t="n"/>
      <c r="D3" s="101" t="n"/>
      <c r="E3" s="101" t="n"/>
      <c r="F3" s="102" t="n"/>
    </row>
    <row r="4" ht="139" customHeight="1">
      <c r="A4" s="21" t="inlineStr">
        <is>
          <t>Bottega proponuje kompleksowe wdrożenie inżynierii oprogramowania wspomaganej sztuczną inteligencją (AI SDLC) w dwóch obszarach biznesowych: Bankowość Centralna oraz Capital Markets, wraz z opcjonalną… [przykład stylu — skrócono]</t>
        </is>
      </c>
      <c r="B4" s="22" t="n"/>
      <c r="C4" s="22" t="n"/>
      <c r="D4" s="22" t="n"/>
      <c r="E4" s="22" t="n"/>
      <c r="F4" s="22" t="n"/>
    </row>
    <row r="5" ht="30" customHeight="1">
      <c r="A5" s="22" t="n"/>
      <c r="B5" s="22" t="n"/>
      <c r="C5" s="22" t="n"/>
      <c r="D5" s="22" t="n"/>
      <c r="E5" s="22" t="n"/>
      <c r="F5" s="22" t="n"/>
    </row>
    <row r="6" ht="30" customHeight="1">
      <c r="A6" s="87" t="inlineStr">
        <is>
          <t>Podejście i fazy wdrożenia</t>
        </is>
      </c>
      <c r="B6" s="101" t="n"/>
      <c r="C6" s="101" t="n"/>
      <c r="D6" s="101" t="n"/>
      <c r="E6" s="101" t="n"/>
      <c r="F6" s="102" t="n"/>
    </row>
    <row r="7" ht="49" customHeight="1">
      <c r="A7" s="21" t="inlineStr">
        <is>
          <t>Nasze podejście to stopniowa ewolucja, a nie rewolucja. Integrujemy AI tam, gdzie przynosi wymierny zwrot z inwestycji i odciąża inżynierów od powtarzalnych zadań, unikając pułapek związanych z bezpie… [przykład stylu — skrócono]</t>
        </is>
      </c>
      <c r="B7" s="82" t="n"/>
      <c r="C7" s="22" t="n"/>
      <c r="D7" s="22" t="n"/>
      <c r="E7" s="22" t="n"/>
      <c r="F7" s="22" t="n"/>
    </row>
    <row r="8" ht="49" customHeight="1">
      <c r="A8" s="94" t="inlineStr">
        <is>
          <t>Faza 1 — Audit i strategia</t>
        </is>
      </c>
      <c r="B8" s="21" t="inlineStr">
        <is>
          <t>Analiza procesu wytwórczego, stosu technologicznego i kultury inżynierskiej. Identyfikacja obszarów o najwyższym potencjale zwrotu. Wynik: roadmapa wdrożenia.</t>
        </is>
      </c>
      <c r="C8" s="22" t="n"/>
      <c r="D8" s="22" t="n"/>
      <c r="E8" s="22" t="n"/>
      <c r="F8" s="22" t="n"/>
    </row>
    <row r="9" ht="64" customHeight="1">
      <c r="A9" s="94" t="inlineStr">
        <is>
          <t>Faza 2 — Proof of Value</t>
        </is>
      </c>
      <c r="B9" s="21" t="inlineStr">
        <is>
          <t>Pilotaż na wybranym zespole lub module. Praca własna Bottega (przygotowanie narzędzi, dokumentacji) + pair programming online (transfer know-how). Wynik: działające rozwiązanie + udowodniona wartość p… [przykład stylu — skrócono]</t>
        </is>
      </c>
      <c r="C9" s="22" t="n"/>
      <c r="D9" s="22" t="n"/>
      <c r="E9" s="22" t="n"/>
      <c r="F9" s="22" t="n"/>
    </row>
    <row r="10" ht="49" customHeight="1">
      <c r="A10" s="94" t="inlineStr">
        <is>
          <t>Faza 3 — Skalowanie kompetencji</t>
        </is>
      </c>
      <c r="B10" s="21" t="inlineStr">
        <is>
          <t>Rozszerzenie praktyk na całą organizację. Przekazanie licencji z bezterminowym prawem do użytku. Szkolenia dla analityków, PM i developerów.</t>
        </is>
      </c>
      <c r="C10" s="22" t="n"/>
      <c r="D10" s="22" t="n"/>
      <c r="E10" s="22" t="n"/>
      <c r="F10" s="22" t="n"/>
    </row>
    <row r="11" ht="30" customHeight="1">
      <c r="A11" s="22" t="n"/>
      <c r="B11" s="22" t="n"/>
      <c r="C11" s="22" t="n"/>
      <c r="D11" s="22" t="n"/>
      <c r="E11" s="22" t="n"/>
      <c r="F11" s="22" t="n"/>
    </row>
    <row r="12" ht="30" customHeight="1">
      <c r="A12" s="87" t="inlineStr">
        <is>
          <t>Zakres wdrożenia</t>
        </is>
      </c>
      <c r="B12" s="101" t="n"/>
      <c r="C12" s="101" t="n"/>
      <c r="D12" s="101" t="n"/>
      <c r="E12" s="101" t="n"/>
      <c r="F12" s="102" t="n"/>
    </row>
    <row r="13" ht="124" customHeight="1">
      <c r="A13" s="93" t="inlineStr">
        <is>
          <t>TOTAL.01 — Bankowość Centralna — AI SDLC</t>
        </is>
      </c>
      <c r="B13" s="23" t="inlineStr">
        <is>
          <t>Pełen zestaw praktyk AI SDLC: skonsolidowanie dokumentacji funkcji systemu (IK.1), mapowanie funkcjonalności na kod i architekturę (IK.2), dokumentacja frontendu i backendu dla AI (IK.4, IK.5), instru… [przykład stylu — skrócono]</t>
        </is>
      </c>
      <c r="C13" s="16" t="n"/>
      <c r="D13" s="16" t="n"/>
      <c r="E13" s="83">
        <f>'Central Banking'!H282</f>
        <v/>
      </c>
      <c r="F13" s="16" t="n"/>
    </row>
    <row r="14" ht="49" customHeight="1">
      <c r="A14" s="93" t="inlineStr">
        <is>
          <t>TOTAL.02 — Capital Markets — AI SDLC</t>
        </is>
      </c>
      <c r="B14" s="23" t="inlineStr">
        <is>
          <t>Analogiczny zakres jak TOTAL.01, dostosowany do specyfiki Capital Markets (regulator GPW). Większy wymiar pracy własnej Bottega by odciążyć zespół klienta.</t>
        </is>
      </c>
      <c r="C14" s="16" t="n"/>
      <c r="D14" s="16" t="n"/>
      <c r="E14" s="83">
        <f>'Capital Markets'!H281</f>
        <v/>
      </c>
      <c r="F14" s="16" t="n"/>
    </row>
    <row r="15" ht="79" customHeight="1">
      <c r="A15" s="93" t="inlineStr">
        <is>
          <t>TOTAL.03 — Capital Markets — Refaktoryzacja</t>
        </is>
      </c>
      <c r="B15" s="23" t="inlineStr">
        <is>
          <t>Standaryzacja CI/CD (Jenkinsfile, shared library), migracja Ant→Maven/Gradle, automatyzacja deploy QA, ujednolicenie artefaktów, iOS build/release (Fastlane), security gates (Fortify, Dependency-Track… [przykład stylu — skrócono]</t>
        </is>
      </c>
      <c r="C15" s="16" t="n"/>
      <c r="D15" s="16" t="n"/>
      <c r="E15" s="83">
        <f>'Refactor Capital Markets'!H143</f>
        <v/>
      </c>
      <c r="F15" s="16" t="n"/>
    </row>
    <row r="16" ht="49" customHeight="1">
      <c r="A16" s="93" t="inlineStr">
        <is>
          <t>TOTAL.04 — Pakiet szkoleń</t>
        </is>
      </c>
      <c r="B16" s="23" t="inlineStr">
        <is>
          <t>Szkolenie AI SDLC dla analityków i PM (2 dni) oraz dla developerów (3 dni). Bazuje na realnych zadaniach i kodzie projektów.</t>
        </is>
      </c>
      <c r="C16" s="16" t="n"/>
      <c r="D16" s="16" t="n"/>
      <c r="E16" s="83">
        <f>SUM(Podsumowanie!E31:E34)</f>
        <v/>
      </c>
      <c r="F16" s="16" t="n"/>
    </row>
    <row r="17" ht="40" customHeight="1">
      <c r="A17" s="93" t="inlineStr">
        <is>
          <t>TOTAL.05 — Gwarancja 1 rok / Bufor</t>
        </is>
      </c>
      <c r="B17" s="23" t="inlineStr">
        <is>
          <t>Pakiet dodatkowych godzin na bieżące wsparcie, korekty i niespodziewane wyzwania po wdrożeniu.</t>
        </is>
      </c>
      <c r="C17" s="16" t="n"/>
      <c r="D17" s="16" t="n"/>
      <c r="E17" s="83">
        <f>SUM(Podsumowanie!E39:E42)</f>
        <v/>
      </c>
      <c r="F17" s="16" t="n"/>
    </row>
    <row r="18" ht="40" customHeight="1">
      <c r="A18" s="93" t="inlineStr">
        <is>
          <t>TOTAL.06 — Narzędzia i licencje</t>
        </is>
      </c>
      <c r="B18" s="23" t="inlineStr">
        <is>
          <t>Przekazanie licencji na narzędzia AI SDLC z bezterminowymi prawami do wewnętrznego użytku i własnego rozwoju.</t>
        </is>
      </c>
      <c r="C18" s="16" t="n"/>
      <c r="D18" s="16" t="n"/>
      <c r="E18" s="83">
        <f>Narzędzia!G86</f>
        <v/>
      </c>
      <c r="F18" s="16" t="n"/>
    </row>
    <row r="19" ht="35" customHeight="1">
      <c r="A19" s="84" t="inlineStr">
        <is>
          <t>Łączna wartość</t>
        </is>
      </c>
      <c r="B19" s="90" t="n"/>
      <c r="C19" s="90" t="n"/>
      <c r="D19" s="90" t="n"/>
      <c r="E19" s="85">
        <f>SUM(Podsumowanie!E11,Podsumowanie!E19,Podsumowanie!E27,Podsumowanie!E35,Podsumowanie!E43,Podsumowanie!E51)</f>
        <v/>
      </c>
      <c r="F19" s="90" t="n"/>
    </row>
    <row r="20" ht="30" customHeight="1">
      <c r="A20" s="22" t="n"/>
      <c r="B20" s="22" t="n"/>
      <c r="C20" s="22" t="n"/>
      <c r="D20" s="22" t="n"/>
      <c r="E20" s="22" t="n"/>
      <c r="F20" s="22" t="n"/>
    </row>
    <row r="21" ht="30" customHeight="1">
      <c r="A21" s="87" t="inlineStr">
        <is>
          <t>Efekty biznesowe</t>
        </is>
      </c>
      <c r="B21" s="101" t="n"/>
      <c r="C21" s="101" t="n"/>
      <c r="D21" s="101" t="n"/>
      <c r="E21" s="101" t="n"/>
      <c r="F21" s="102" t="n"/>
    </row>
    <row r="22" ht="64" customHeight="1">
      <c r="A22" s="19" t="inlineStr">
        <is>
          <t>Przyspieszenie Time-to-Market</t>
        </is>
      </c>
      <c r="B22" s="21" t="inlineStr">
        <is>
          <t>Automatyzacja powtarzalnych zadań skraca czas dostarczania funkcjonalności. AI przejmuje żmudne czynności, inżynierowie skupiają się na pracy twórczej.
→ TOTAL.01, TOTAL.02, TOTAL.03</t>
        </is>
      </c>
      <c r="C22" s="22" t="n"/>
      <c r="D22" s="22" t="n"/>
      <c r="E22" s="22" t="n"/>
      <c r="F22" s="22" t="n"/>
    </row>
    <row r="23" ht="64" customHeight="1">
      <c r="A23" s="14" t="inlineStr">
        <is>
          <t>Redukcja długu technicznego</t>
        </is>
      </c>
      <c r="B23" s="23" t="inlineStr">
        <is>
          <t>Systematyczna poprawa jakości kodu i architektury przez AI Review (bugs, architektura, complexicity, zgodność ze specyfikacją).
→ TOTAL.03, TOTAL.01, TOTAL.02</t>
        </is>
      </c>
      <c r="C23" s="16" t="n"/>
      <c r="D23" s="16" t="n"/>
      <c r="E23" s="16" t="n"/>
      <c r="F23" s="16" t="n"/>
    </row>
    <row r="24" ht="79" customHeight="1">
      <c r="A24" s="19" t="inlineStr">
        <is>
          <t>Retencja wiedzy projektowej</t>
        </is>
      </c>
      <c r="B24" s="21" t="inlineStr">
        <is>
          <t>AI jako "kustosz wiedzy" — skonsolidowana dokumentacja, baza wiedzy mapująca funkcjonalność na kod. Szybsze wdrażanie nowych pracowników, minimalizacja ryzyka utraty wiedzy przy rotacji.
→ TOTAL.01, T… [przykład stylu — skrócono]</t>
        </is>
      </c>
      <c r="C24" s="22" t="n"/>
      <c r="D24" s="22" t="n"/>
      <c r="E24" s="22" t="n"/>
      <c r="F24" s="22" t="n"/>
    </row>
    <row r="25" ht="64" customHeight="1">
      <c r="A25" s="14" t="inlineStr">
        <is>
          <t>Skalowanie kompetencji</t>
        </is>
      </c>
      <c r="B25" s="23" t="inlineStr">
        <is>
          <t>Ujednolicenie standardów pracy. Dzięki narzędziom i instrukcjom AI każdy inżynier pracuje według tych samych wzorców.
→ TOTAL.04, TOTAL.01, TOTAL.02</t>
        </is>
      </c>
      <c r="C25" s="16" t="n"/>
      <c r="D25" s="16" t="n"/>
      <c r="E25" s="16" t="n"/>
      <c r="F25" s="16" t="n"/>
    </row>
    <row r="26" ht="64" customHeight="1">
      <c r="A26" s="19" t="inlineStr">
        <is>
          <t>Bezpieczeństwo danych</t>
        </is>
      </c>
      <c r="B26" s="21" t="inlineStr">
        <is>
          <t>Pełna kontrola nad kodem źródłowym i dokumentacją. Gating bezpieczeństwa w pipeline. Opcje: Cloud Native, Private Cloud (VPC) lub On-Premise (Air-Gapped).
→ TOTAL.03, TOTAL.06</t>
        </is>
      </c>
      <c r="C26" s="22" t="n"/>
      <c r="D26" s="22" t="n"/>
      <c r="E26" s="22" t="n"/>
      <c r="F26" s="22" t="n"/>
    </row>
    <row r="27" ht="30" customHeight="1">
      <c r="A27" s="22" t="n"/>
      <c r="B27" s="22" t="n"/>
      <c r="C27" s="22" t="n"/>
      <c r="D27" s="22" t="n"/>
      <c r="E27" s="22" t="n"/>
      <c r="F27" s="22" t="n"/>
    </row>
    <row r="28" ht="30" customHeight="1">
      <c r="A28" s="87" t="inlineStr">
        <is>
          <t>Model dostawy</t>
        </is>
      </c>
      <c r="B28" s="101" t="n"/>
      <c r="C28" s="101" t="n"/>
      <c r="D28" s="101" t="n"/>
      <c r="E28" s="101" t="n"/>
      <c r="F28" s="102" t="n"/>
    </row>
    <row r="29" ht="25" customHeight="1">
      <c r="A29" s="86" t="inlineStr">
        <is>
          <t>Forma współpracy</t>
        </is>
      </c>
      <c r="B29" s="86" t="inlineStr">
        <is>
          <t>Opis</t>
        </is>
      </c>
      <c r="C29" s="86" t="inlineStr">
        <is>
          <t>Kiedy stosujemy</t>
        </is>
      </c>
      <c r="D29" s="90" t="n"/>
      <c r="E29" s="90" t="n"/>
      <c r="F29" s="90" t="n"/>
    </row>
    <row r="30" ht="34" customHeight="1">
      <c r="A30" s="21" t="inlineStr">
        <is>
          <t>Praca własna Bottega</t>
        </is>
      </c>
      <c r="B30" s="21" t="inlineStr">
        <is>
          <t>Eksperci Bottega realizują zadania samodzielnie, bez angażowania zespołu klienta</t>
        </is>
      </c>
      <c r="C30" s="21" t="inlineStr">
        <is>
          <t>Budowa narzędzi, dokumentacji, instrukcji</t>
        </is>
      </c>
      <c r="D30" s="22" t="n"/>
      <c r="E30" s="22" t="n"/>
      <c r="F30" s="22" t="n"/>
    </row>
    <row r="31" ht="34" customHeight="1">
      <c r="A31" s="23" t="inlineStr">
        <is>
          <t>Pair programming online</t>
        </is>
      </c>
      <c r="B31" s="23" t="inlineStr">
        <is>
          <t>Wspólna praca eksperta Bottega z inżynierem klienta w parach, przekazująca know-how w czasie rzeczywistym</t>
        </is>
      </c>
      <c r="C31" s="23" t="inlineStr">
        <is>
          <t>Transfer kompetencji: context engineering, refactoring, pipeline</t>
        </is>
      </c>
      <c r="D31" s="16" t="n"/>
      <c r="E31" s="16" t="n"/>
      <c r="F31" s="16" t="n"/>
    </row>
    <row r="32" ht="34" customHeight="1">
      <c r="A32" s="21" t="inlineStr">
        <is>
          <t>Review po stronie klienta</t>
        </is>
      </c>
      <c r="B32" s="21" t="inlineStr">
        <is>
          <t>Klient weryfikuje efekty prac Bottega, otrzymuje feedback i możliwość korekty</t>
        </is>
      </c>
      <c r="C32" s="21" t="inlineStr">
        <is>
          <t>Każda dostarczona pozycja przed zamknięciem</t>
        </is>
      </c>
      <c r="D32" s="22" t="n"/>
      <c r="E32" s="22" t="n"/>
      <c r="F32" s="22" t="n"/>
    </row>
    <row r="33" ht="18" customHeight="1">
      <c r="A33" s="19" t="inlineStr">
        <is>
          <t>Środowiska docelowe</t>
        </is>
      </c>
      <c r="B33" s="22" t="n"/>
      <c r="C33" s="22" t="n"/>
      <c r="D33" s="22" t="n"/>
      <c r="E33" s="22" t="n"/>
      <c r="F33" s="22" t="n"/>
    </row>
    <row r="34" ht="54" customHeight="1">
      <c r="A34" s="22" t="n"/>
      <c r="B34" s="21" t="inlineStr">
        <is>
          <t>Cloud Native (Enterprise API) — dla firm akceptujących przetwarzanie w chmurze z umowami BAA, stawiających na najwyższą inteligencję modeli</t>
        </is>
      </c>
      <c r="C34" s="22" t="n"/>
      <c r="D34" s="22" t="n"/>
      <c r="E34" s="22" t="n"/>
      <c r="F34" s="22" t="n"/>
    </row>
    <row r="35" ht="54" customHeight="1">
      <c r="A35" s="16" t="n"/>
      <c r="B35" s="23" t="inlineStr">
        <is>
          <t>Private Cloud (VPC) — dla organizacji wymagających zgodności z regulacjami korporacyjnymi, posiadających infrastrukturę w chmurze publicznej</t>
        </is>
      </c>
      <c r="C35" s="16" t="n"/>
      <c r="D35" s="16" t="n"/>
      <c r="E35" s="16" t="n"/>
      <c r="F35" s="16" t="n"/>
    </row>
    <row r="36" ht="54" customHeight="1">
      <c r="A36" s="22" t="n"/>
      <c r="B36" s="21" t="inlineStr">
        <is>
          <t>On-Premise (Air-Gapped) — dla banków i sektora publicznego o najwyższym rygorze tajności; obejmuje dobór hardware'u, konfigurację i support</t>
        </is>
      </c>
      <c r="C36" s="22" t="n"/>
      <c r="D36" s="22" t="n"/>
      <c r="E36" s="22" t="n"/>
      <c r="F36" s="22" t="n"/>
    </row>
    <row r="37" ht="30" customHeight="1">
      <c r="A37" s="22" t="n"/>
      <c r="B37" s="22" t="n"/>
      <c r="C37" s="22" t="n"/>
      <c r="D37" s="22" t="n"/>
      <c r="E37" s="22" t="n"/>
      <c r="F37" s="22" t="n"/>
    </row>
    <row r="38" ht="30" customHeight="1">
      <c r="A38" s="87" t="inlineStr">
        <is>
          <t>Ryzyka i mitigacje</t>
        </is>
      </c>
      <c r="B38" s="101" t="n"/>
      <c r="C38" s="101" t="n"/>
      <c r="D38" s="101" t="n"/>
      <c r="E38" s="101" t="n"/>
      <c r="F38" s="102" t="n"/>
    </row>
    <row r="39" ht="28" customHeight="1">
      <c r="A39" s="86" t="inlineStr">
        <is>
          <t>Ryzyko</t>
        </is>
      </c>
      <c r="B39" s="86" t="inlineStr">
        <is>
          <t>Mitigacja</t>
        </is>
      </c>
      <c r="C39" s="90" t="n"/>
      <c r="D39" s="90" t="n"/>
      <c r="E39" s="90" t="n"/>
      <c r="F39" s="90" t="n"/>
    </row>
    <row r="40" ht="49" customHeight="1">
      <c r="A40" s="21" t="inlineStr">
        <is>
          <t>Halucynacje modeli AI — AI generuje nieprawdziwe lub niepoprawne informacje</t>
        </is>
      </c>
      <c r="B40" s="21" t="inlineStr">
        <is>
          <t>Context engineering — budowa precyzyjnego kontekstu dla LLM; instrukcje AI wymuszające weryfikację faktów; rola człowieka w pętli (human-in-the-loop)</t>
        </is>
      </c>
      <c r="C40" s="22" t="n"/>
      <c r="D40" s="22" t="n"/>
      <c r="E40" s="22" t="n"/>
      <c r="F40" s="22" t="n"/>
    </row>
    <row r="41" ht="64" customHeight="1">
      <c r="A41" s="23" t="inlineStr">
        <is>
          <t>Obniżenie jakości kodu — AI generuje kod niezgodny ze standardami</t>
        </is>
      </c>
      <c r="B41" s="23" t="inlineStr">
        <is>
          <t>AI Review w pipeline (bugs, architektura, complexicity, zgodność ze specyfikacją); gating security (Fortify, Dependency-Track); code review przez doświadczonych inżynierów</t>
        </is>
      </c>
      <c r="C41" s="16" t="n"/>
      <c r="D41" s="16" t="n"/>
      <c r="E41" s="16" t="n"/>
      <c r="F41" s="16" t="n"/>
    </row>
    <row r="42" ht="49" customHeight="1">
      <c r="A42" s="21" t="inlineStr">
        <is>
          <t>Wyciek danych / kodu źródłowego — wrażliwy kod trafia do publicznych modeli AI</t>
        </is>
      </c>
      <c r="B42" s="21" t="inlineStr">
        <is>
          <t>Możliwość deploymentu On-Premise (Air-Gapped); Private Cloud (VPC); polityka danych i instrukcje AI wymuszające lokalne przetwarzanie</t>
        </is>
      </c>
      <c r="C42" s="22" t="n"/>
      <c r="D42" s="22" t="n"/>
      <c r="E42" s="22" t="n"/>
      <c r="F42" s="22" t="n"/>
    </row>
    <row r="43" ht="49" customHeight="1">
      <c r="A43" s="23" t="inlineStr">
        <is>
          <t>Odrzucenie przez zespół — inżynierowie nie chcą pracować z AI</t>
        </is>
      </c>
      <c r="B43" s="23" t="inlineStr">
        <is>
          <t>Stopniowe wprowadzanie (ewolucja, nie rewolucja); pokazanie wartości na pilocie; szkolenia i mentoring; odciążenie od powtarzalnych zadań</t>
        </is>
      </c>
      <c r="C43" s="16" t="n"/>
      <c r="D43" s="16" t="n"/>
      <c r="E43" s="16" t="n"/>
      <c r="F43" s="16" t="n"/>
    </row>
    <row r="44" ht="64" customHeight="1">
      <c r="A44" s="21" t="inlineStr">
        <is>
          <t>Ponoszenie zbędnych kosztów — niewłaściwe użycie AI przez nieprzeszkolony personel</t>
        </is>
      </c>
      <c r="B44" s="21" t="inlineStr">
        <is>
          <t>Harness engineering — znacząco podnosi jakość przy wykorzystaniu mniejszych modeli; oszczędności dzięki wycinaniu zbędnego outputu i logów; szkolenia z efektywnego korzystania z AI (TOTAL.04)</t>
        </is>
      </c>
      <c r="C44" s="22" t="n"/>
      <c r="D44" s="22" t="n"/>
      <c r="E44" s="22" t="n"/>
      <c r="F44" s="22" t="n"/>
    </row>
    <row r="45" ht="64" customHeight="1">
      <c r="A45" s="23" t="inlineStr">
        <is>
          <t>Uzależnienie od dostawcy (vendor lock-in)</t>
        </is>
      </c>
      <c r="B45" s="23" t="inlineStr">
        <is>
          <t>Przekazanie narzędzi i licencji na własność; bezterminowe prawa do wewnętrznego użytku i rozwoju; transfer know-how przez pair programming; dokumentacja i instrukcje pozostają w organizacji</t>
        </is>
      </c>
      <c r="C45" s="16" t="n"/>
      <c r="D45" s="16" t="n"/>
      <c r="E45" s="16" t="n"/>
      <c r="F45" s="16" t="n"/>
    </row>
    <row r="46" ht="30" customHeight="1">
      <c r="A46" s="22" t="n"/>
      <c r="B46" s="22" t="n"/>
      <c r="C46" s="22" t="n"/>
      <c r="D46" s="22" t="n"/>
      <c r="E46" s="22" t="n"/>
      <c r="F46" s="22" t="n"/>
    </row>
    <row r="47" ht="30" customHeight="1">
      <c r="A47" s="95" t="inlineStr">
        <is>
          <t>Dlaczego Bottega</t>
        </is>
      </c>
      <c r="B47" s="101" t="n"/>
      <c r="C47" s="101" t="n"/>
      <c r="D47" s="101" t="n"/>
      <c r="E47" s="101" t="n"/>
      <c r="F47" s="102" t="n"/>
    </row>
    <row r="48" ht="64" customHeight="1">
      <c r="A48" s="103" t="inlineStr">
        <is>
          <t>• Doświadczenie w bankowości konsumenckiej i inwestycyjnej — projekty transformacyjne w sektorze finansowym; znajomość regulacji KNF, GPW i UE</t>
        </is>
      </c>
      <c r="B48" s="108" t="n"/>
      <c r="C48" s="104" t="n"/>
      <c r="D48" s="104" t="n"/>
      <c r="E48" s="104" t="n"/>
      <c r="F48" s="104" t="n"/>
    </row>
    <row r="49" ht="34" customHeight="1">
      <c r="A49" s="105" t="inlineStr">
        <is>
          <t>• 15 lat doświadczenia w szkoleniach i doradztwie dla zespołów deweloperskich</t>
        </is>
      </c>
      <c r="B49" s="108" t="n"/>
      <c r="C49" s="106" t="n"/>
      <c r="D49" s="106" t="n"/>
      <c r="E49" s="106" t="n"/>
      <c r="F49" s="106" t="n"/>
    </row>
    <row r="50" ht="64" customHeight="1">
      <c r="A50" s="103" t="inlineStr">
        <is>
          <t>• 78 aktywnych trenerów o modelu kompetencji Π (Pi) — silny filar techniczny oraz umiejętności miękkie, talent edukacyjny, myślenie strategiczne</t>
        </is>
      </c>
      <c r="B50" s="108" t="n"/>
      <c r="C50" s="104" t="n"/>
      <c r="D50" s="104" t="n"/>
      <c r="E50" s="104" t="n"/>
      <c r="F50" s="104" t="n"/>
    </row>
    <row r="51" ht="34" customHeight="1">
      <c r="A51" s="105" t="inlineStr">
        <is>
          <t>• Ponad 12 000 przeszkolonych uczestników, 150 dni szkoleń rocznie</t>
        </is>
      </c>
      <c r="B51" s="108" t="n"/>
      <c r="C51" s="106" t="n"/>
      <c r="D51" s="106" t="n"/>
      <c r="E51" s="106" t="n"/>
      <c r="F51" s="106" t="n"/>
    </row>
    <row r="52" ht="49" customHeight="1">
      <c r="A52" s="103" t="inlineStr">
        <is>
          <t>• 43 klientów z branż: finansowa, medyczna, ubezpieczeniowa, energetyczna, zbrojeniowa, e-commerce</t>
        </is>
      </c>
      <c r="B52" s="108" t="n"/>
      <c r="C52" s="104" t="n"/>
      <c r="D52" s="104" t="n"/>
      <c r="E52" s="104" t="n"/>
      <c r="F52" s="104" t="n"/>
    </row>
    <row r="53" ht="34" customHeight="1">
      <c r="A53" s="105" t="inlineStr">
        <is>
          <t>• Eksperci: Sławomir Sobótka, Jakub Nabrdalik, Łukasz Szydło, Mariusz Gil</t>
        </is>
      </c>
      <c r="B53" s="108" t="n"/>
      <c r="C53" s="106" t="n"/>
      <c r="D53" s="106" t="n"/>
      <c r="E53" s="106" t="n"/>
      <c r="F53" s="106" t="n"/>
    </row>
    <row r="54" ht="34" customHeight="1">
      <c r="A54" s="103" t="inlineStr">
        <is>
          <t>Wybrani klienci: Intel Polska • Orange Polska • Roche Polska • Asseco Polska • Tomtom Polska • Capgemini • Comarch • Luxoft • Motorola • PZU • Tieto • Atos</t>
        </is>
      </c>
      <c r="B54" s="108" t="n"/>
      <c r="C54" s="104" t="n"/>
      <c r="D54" s="104" t="n"/>
      <c r="E54" s="104" t="n"/>
      <c r="F54" s="104" t="n"/>
    </row>
  </sheetData>
  <mergeCells count="15">
    <mergeCell ref="A38:F38"/>
    <mergeCell ref="A48:B48"/>
    <mergeCell ref="A47:F47"/>
    <mergeCell ref="A28:F28"/>
    <mergeCell ref="A52:B52"/>
    <mergeCell ref="A54:B54"/>
    <mergeCell ref="A1:F1"/>
    <mergeCell ref="A49:B49"/>
    <mergeCell ref="A51:B51"/>
    <mergeCell ref="A6:F6"/>
    <mergeCell ref="A12:F12"/>
    <mergeCell ref="A3:F3"/>
    <mergeCell ref="A21:F21"/>
    <mergeCell ref="A53:B53"/>
    <mergeCell ref="A50:B5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topLeftCell="A21" zoomScale="89" workbookViewId="0">
      <selection activeCell="C46" activeCellId="2" sqref="C30:C35 C38:C43 C46:C51"/>
    </sheetView>
  </sheetViews>
  <sheetFormatPr baseColWidth="10" defaultRowHeight="13"/>
  <cols>
    <col width="15.6640625" customWidth="1" min="1" max="1"/>
    <col width="17" customWidth="1" min="2" max="2"/>
    <col width="78.1640625" customWidth="1" min="3" max="3"/>
    <col width="53.6640625" customWidth="1" min="4" max="4"/>
    <col width="19.5" customWidth="1" style="10" min="5" max="5"/>
    <col width="23.1640625" customWidth="1" min="6" max="6"/>
    <col width="55" customWidth="1" min="7" max="7"/>
  </cols>
  <sheetData>
    <row r="1" ht="19" customHeight="1">
      <c r="A1" s="79" t="inlineStr">
        <is>
          <t>Podsumowanie</t>
        </is>
      </c>
      <c r="B1" s="11" t="n"/>
      <c r="C1" s="11" t="n"/>
      <c r="D1" s="11" t="n"/>
      <c r="E1" s="90" t="n"/>
      <c r="F1" s="11" t="n"/>
      <c r="G1" s="90" t="n"/>
    </row>
    <row r="2" ht="15" customHeight="1">
      <c r="A2" s="3" t="n"/>
      <c r="B2" s="4" t="n"/>
      <c r="C2" s="1" t="n"/>
      <c r="D2" s="1" t="n"/>
      <c r="F2" s="1" t="n"/>
    </row>
    <row r="3" ht="15" customHeight="1">
      <c r="A3" s="1" t="n"/>
      <c r="B3" s="1" t="n"/>
      <c r="C3" s="1" t="n"/>
      <c r="D3" s="1" t="n"/>
      <c r="F3" s="1" t="n"/>
    </row>
    <row r="4" ht="15" customHeight="1">
      <c r="A4" s="13" t="inlineStr">
        <is>
          <t>Kod</t>
        </is>
      </c>
      <c r="B4" s="13" t="inlineStr">
        <is>
          <t>Obszar</t>
        </is>
      </c>
      <c r="C4" s="13" t="inlineStr">
        <is>
          <t>Tytul / opis</t>
        </is>
      </c>
      <c r="D4" s="13" t="inlineStr">
        <is>
          <t>Pozycja kosztowa</t>
        </is>
      </c>
      <c r="E4" s="13" t="inlineStr">
        <is>
          <t>Cena netto [PLN]</t>
        </is>
      </c>
      <c r="F4" s="13" t="inlineStr">
        <is>
          <t>Typ do podsumowania</t>
        </is>
      </c>
      <c r="G4" s="13" t="inlineStr">
        <is>
          <t>Opis oferty</t>
        </is>
      </c>
    </row>
    <row r="5" ht="109" customHeight="1">
      <c r="A5" t="inlineStr">
        <is>
          <t>TOTAL.01</t>
        </is>
      </c>
      <c r="B5" t="inlineStr">
        <is>
          <t>Bankowość Centralna — AI SDLC</t>
        </is>
      </c>
      <c r="C5" t="inlineStr">
        <is>
          <t>Pełen zestaw praktyk AI SDLC dla BU Bankowość Centralna</t>
        </is>
      </c>
      <c r="D5" t="inlineStr">
        <is>
          <t>40 000</t>
        </is>
      </c>
      <c r="E5" t="inlineStr">
        <is>
          <t>68 000,00</t>
        </is>
      </c>
      <c r="F5" t="inlineStr">
        <is>
          <t>1 700 000,00</t>
        </is>
      </c>
      <c r="G5" t="inlineStr">
        <is>
          <t>Przykładowy opis oferty dla TOTAL.01</t>
        </is>
      </c>
    </row>
    <row r="6" ht="15" customHeight="1">
      <c r="A6" t="inlineStr">
        <is>
          <t>TOTAL.02</t>
        </is>
      </c>
      <c r="B6" t="inlineStr">
        <is>
          <t>Capital Markets — AI SDLC</t>
        </is>
      </c>
      <c r="C6" t="inlineStr">
        <is>
          <t>Analogiczny zakres jak TOTAL.01, dostosowany do Capital Markets</t>
        </is>
      </c>
      <c r="D6" t="inlineStr">
        <is>
          <t>25 000</t>
        </is>
      </c>
      <c r="E6" t="inlineStr">
        <is>
          <t>42 500,00</t>
        </is>
      </c>
      <c r="F6" t="inlineStr">
        <is>
          <t>1 062 500,00</t>
        </is>
      </c>
      <c r="G6" t="inlineStr">
        <is>
          <t>Przykładowy opis oferty dla TOTAL.02</t>
        </is>
      </c>
    </row>
    <row r="7" ht="15" customHeight="1">
      <c r="A7" t="inlineStr"/>
      <c r="B7" t="inlineStr"/>
      <c r="C7" t="inlineStr"/>
      <c r="D7" t="inlineStr"/>
      <c r="E7" t="inlineStr"/>
      <c r="F7" t="inlineStr"/>
      <c r="G7" t="inlineStr"/>
    </row>
    <row r="8" ht="15" customHeight="1">
      <c r="A8" t="inlineStr"/>
      <c r="B8" t="inlineStr"/>
      <c r="C8" t="inlineStr"/>
      <c r="D8" t="inlineStr"/>
      <c r="E8" t="inlineStr"/>
      <c r="F8" t="inlineStr"/>
      <c r="G8" t="inlineStr"/>
    </row>
    <row r="9" ht="15" customHeight="1">
      <c r="A9" t="inlineStr"/>
      <c r="B9" t="inlineStr"/>
      <c r="C9" t="inlineStr"/>
      <c r="D9" t="inlineStr"/>
      <c r="E9" t="inlineStr"/>
      <c r="F9" t="inlineStr"/>
      <c r="G9" t="inlineStr"/>
    </row>
    <row r="10" ht="15" customHeight="1">
      <c r="A10" t="inlineStr">
        <is>
          <t>TOTAL.01</t>
        </is>
      </c>
      <c r="B10" t="inlineStr">
        <is>
          <t>Razem Bankowość</t>
        </is>
      </c>
      <c r="C10" t="inlineStr"/>
      <c r="D10" t="inlineStr"/>
      <c r="E10" t="inlineStr"/>
      <c r="F10" t="inlineStr">
        <is>
          <t>1 700 000,00</t>
        </is>
      </c>
      <c r="G10" t="inlineStr"/>
    </row>
    <row r="11" ht="15" customHeight="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 ht="79" customHeight="1">
      <c r="A13" t="inlineStr"/>
      <c r="B13" t="inlineStr"/>
      <c r="C13" t="inlineStr"/>
      <c r="D13" t="inlineStr"/>
      <c r="E13" t="inlineStr"/>
      <c r="F13" t="inlineStr"/>
      <c r="G13" t="inlineStr"/>
    </row>
    <row r="14" ht="15" customHeight="1">
      <c r="A14" t="inlineStr">
        <is>
          <t>TOTAL.02</t>
        </is>
      </c>
      <c r="B14" t="inlineStr">
        <is>
          <t>Razem Capital Markets</t>
        </is>
      </c>
      <c r="C14" t="inlineStr"/>
      <c r="D14" t="inlineStr"/>
      <c r="E14" t="inlineStr"/>
      <c r="F14" t="inlineStr">
        <is>
          <t>1 062 500,00</t>
        </is>
      </c>
      <c r="G14" t="inlineStr"/>
    </row>
    <row r="15" ht="15" customHeight="1">
      <c r="A15" t="inlineStr"/>
      <c r="B15" t="inlineStr"/>
      <c r="C15" t="inlineStr"/>
      <c r="D15" t="inlineStr"/>
      <c r="E15" t="inlineStr"/>
      <c r="F15" t="inlineStr"/>
      <c r="G15" t="inlineStr"/>
    </row>
    <row r="16" ht="15" customHeight="1">
      <c r="A16" t="inlineStr"/>
      <c r="B16" t="inlineStr"/>
      <c r="C16" t="inlineStr"/>
      <c r="D16" t="inlineStr"/>
      <c r="E16" t="inlineStr"/>
      <c r="F16" t="inlineStr"/>
      <c r="G16" t="inlineStr"/>
    </row>
    <row r="17" ht="15" customHeight="1">
      <c r="A17" t="inlineStr"/>
      <c r="B17" t="inlineStr"/>
      <c r="C17" t="inlineStr"/>
      <c r="D17" t="inlineStr"/>
      <c r="E17" t="inlineStr"/>
      <c r="F17" t="inlineStr"/>
      <c r="G17" t="inlineStr"/>
    </row>
    <row r="18" ht="15" customHeight="1">
      <c r="A18" t="inlineStr"/>
      <c r="B18" t="inlineStr"/>
      <c r="C18" t="inlineStr"/>
      <c r="D18" t="inlineStr"/>
      <c r="E18" t="inlineStr"/>
      <c r="F18" t="inlineStr"/>
      <c r="G18" t="inlineStr"/>
    </row>
    <row r="19" ht="15" customHeight="1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 ht="124" customHeight="1">
      <c r="A21" t="inlineStr"/>
      <c r="B21" t="inlineStr"/>
      <c r="C21" t="inlineStr"/>
      <c r="D21" t="inlineStr"/>
      <c r="E21" t="inlineStr"/>
      <c r="F21" t="inlineStr"/>
      <c r="G21" t="inlineStr"/>
    </row>
    <row r="22" ht="15" customHeight="1">
      <c r="A22" t="inlineStr"/>
      <c r="B22" t="inlineStr"/>
      <c r="C22" t="inlineStr"/>
      <c r="D22" t="inlineStr"/>
      <c r="E22" t="inlineStr"/>
      <c r="F22" t="inlineStr"/>
      <c r="G22" t="inlineStr"/>
    </row>
    <row r="23" ht="15" customHeight="1">
      <c r="A23" t="inlineStr"/>
      <c r="B23" t="inlineStr"/>
      <c r="C23" t="inlineStr"/>
      <c r="D23" t="inlineStr"/>
      <c r="E23" t="inlineStr"/>
      <c r="F23" t="inlineStr"/>
      <c r="G23" t="inlineStr"/>
    </row>
    <row r="24" ht="15" customHeight="1">
      <c r="A24" t="inlineStr"/>
      <c r="B24" t="inlineStr"/>
      <c r="C24" t="inlineStr"/>
      <c r="D24" t="inlineStr"/>
      <c r="E24" t="inlineStr"/>
      <c r="F24" t="inlineStr"/>
      <c r="G24" t="inlineStr"/>
    </row>
    <row r="25" ht="15" customHeight="1">
      <c r="A25" t="inlineStr"/>
      <c r="B25" t="inlineStr"/>
      <c r="C25" t="inlineStr"/>
      <c r="D25" t="inlineStr"/>
      <c r="E25" t="inlineStr"/>
      <c r="F25" t="inlineStr"/>
      <c r="G25" t="inlineStr"/>
    </row>
    <row r="26" ht="15" customHeight="1">
      <c r="A26" t="inlineStr"/>
      <c r="B26" t="inlineStr"/>
      <c r="C26" t="inlineStr"/>
      <c r="D26" t="inlineStr"/>
      <c r="E26" t="inlineStr"/>
      <c r="F26" t="inlineStr"/>
      <c r="G26" t="inlineStr"/>
    </row>
    <row r="27" ht="15" customHeight="1">
      <c r="A27" t="inlineStr"/>
      <c r="B27" t="inlineStr"/>
      <c r="C27" t="inlineStr"/>
      <c r="D27" t="inlineStr"/>
      <c r="E27" t="inlineStr"/>
      <c r="F27" t="inlineStr"/>
      <c r="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</row>
    <row r="29" ht="64" customHeight="1">
      <c r="A29" t="inlineStr"/>
      <c r="B29" t="inlineStr"/>
      <c r="C29" t="inlineStr"/>
      <c r="D29" t="inlineStr"/>
      <c r="E29" t="inlineStr"/>
      <c r="F29" t="inlineStr"/>
      <c r="G29" t="inlineStr"/>
    </row>
    <row r="30" ht="15" customHeight="1">
      <c r="A30" t="inlineStr"/>
      <c r="B30" t="inlineStr"/>
      <c r="C30" t="inlineStr"/>
      <c r="D30" t="inlineStr"/>
      <c r="E30" t="inlineStr"/>
      <c r="F30" t="inlineStr"/>
      <c r="G30" t="inlineStr"/>
    </row>
    <row r="31" ht="15" customHeight="1">
      <c r="A31" t="inlineStr"/>
      <c r="B31" t="inlineStr"/>
      <c r="C31" t="inlineStr"/>
      <c r="D31" t="inlineStr"/>
      <c r="E31" t="inlineStr"/>
      <c r="F31" t="inlineStr"/>
      <c r="G31" t="inlineStr"/>
    </row>
    <row r="32" ht="15" customHeight="1">
      <c r="A32" t="inlineStr"/>
      <c r="B32" t="inlineStr"/>
      <c r="C32" t="inlineStr"/>
      <c r="D32" t="inlineStr"/>
      <c r="E32" t="inlineStr"/>
      <c r="F32" t="inlineStr"/>
      <c r="G32" t="inlineStr"/>
    </row>
    <row r="33" ht="15" customHeight="1">
      <c r="A33" t="inlineStr"/>
      <c r="B33" t="inlineStr"/>
      <c r="C33" t="inlineStr"/>
      <c r="D33" t="inlineStr"/>
      <c r="E33" t="inlineStr"/>
      <c r="F33" t="inlineStr"/>
      <c r="G33" t="inlineStr"/>
    </row>
    <row r="34" ht="15" customHeight="1">
      <c r="A34" t="inlineStr"/>
      <c r="B34" t="inlineStr"/>
      <c r="C34" t="inlineStr"/>
      <c r="D34" t="inlineStr"/>
      <c r="E34" t="inlineStr"/>
      <c r="F34" t="inlineStr"/>
      <c r="G34" t="inlineStr"/>
    </row>
    <row r="35" ht="15" customHeight="1">
      <c r="A35" t="inlineStr"/>
      <c r="B35" t="inlineStr"/>
      <c r="C35" t="inlineStr"/>
      <c r="D35" t="inlineStr"/>
      <c r="E35" t="inlineStr"/>
      <c r="F35" t="inlineStr"/>
      <c r="G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</row>
    <row r="37" ht="49" customHeight="1">
      <c r="A37" t="inlineStr"/>
      <c r="B37" t="inlineStr"/>
      <c r="C37" t="inlineStr"/>
      <c r="D37" t="inlineStr"/>
      <c r="E37" t="inlineStr"/>
      <c r="F37" t="inlineStr"/>
      <c r="G37" t="inlineStr"/>
    </row>
    <row r="38" ht="15" customHeight="1">
      <c r="A38" t="inlineStr"/>
      <c r="B38" t="inlineStr"/>
      <c r="C38" t="inlineStr"/>
      <c r="D38" t="inlineStr"/>
      <c r="E38" t="inlineStr"/>
      <c r="F38" t="inlineStr"/>
      <c r="G38" t="inlineStr"/>
    </row>
    <row r="39" ht="15" customHeight="1">
      <c r="A39" t="inlineStr"/>
      <c r="B39" t="inlineStr"/>
      <c r="C39" t="inlineStr"/>
      <c r="D39" t="inlineStr"/>
      <c r="E39" t="inlineStr"/>
      <c r="F39" t="inlineStr"/>
      <c r="G39" t="inlineStr"/>
    </row>
    <row r="40" ht="15" customHeight="1">
      <c r="A40" t="inlineStr"/>
      <c r="B40" t="inlineStr"/>
      <c r="C40" t="inlineStr"/>
      <c r="D40" t="inlineStr"/>
      <c r="E40" t="inlineStr"/>
      <c r="F40" t="inlineStr"/>
      <c r="G40" t="inlineStr"/>
    </row>
    <row r="41" ht="15" customHeight="1">
      <c r="A41" t="inlineStr"/>
      <c r="B41" t="inlineStr"/>
      <c r="C41" t="inlineStr"/>
      <c r="D41" t="inlineStr"/>
      <c r="E41" t="inlineStr"/>
      <c r="F41" t="inlineStr"/>
      <c r="G41" t="inlineStr"/>
    </row>
    <row r="42" ht="15" customHeight="1">
      <c r="A42" t="inlineStr"/>
      <c r="B42" t="inlineStr"/>
      <c r="C42" t="inlineStr"/>
      <c r="D42" t="inlineStr"/>
      <c r="E42" t="inlineStr"/>
      <c r="F42" t="inlineStr"/>
      <c r="G42" t="inlineStr"/>
    </row>
    <row r="43" ht="15" customHeight="1">
      <c r="A43" t="inlineStr"/>
      <c r="B43" t="inlineStr"/>
      <c r="C43" t="inlineStr"/>
      <c r="D43" t="inlineStr"/>
      <c r="E43" t="inlineStr"/>
      <c r="F43" t="inlineStr"/>
      <c r="G43" t="inlineStr"/>
    </row>
    <row r="44" ht="15" customHeight="1">
      <c r="A44" t="inlineStr">
        <is>
          <t>TOTAL.06</t>
        </is>
      </c>
      <c r="B44" t="inlineStr">
        <is>
          <t>Narzędzia i licencje</t>
        </is>
      </c>
      <c r="C44" t="inlineStr">
        <is>
          <t>Przekazanie licencji z bezterminowymi prawami do użytku i rozwoju</t>
        </is>
      </c>
      <c r="D44" t="inlineStr">
        <is>
          <t>5 000</t>
        </is>
      </c>
      <c r="E44" t="inlineStr">
        <is>
          <t>8 500,00</t>
        </is>
      </c>
      <c r="F44" t="inlineStr">
        <is>
          <t>212 500,00</t>
        </is>
      </c>
      <c r="G44" t="inlineStr">
        <is>
          <t>Przykładowy opis dla TOTAL.06</t>
        </is>
      </c>
    </row>
    <row r="45" ht="49" customHeight="1">
      <c r="A45" t="inlineStr"/>
      <c r="B45" t="inlineStr"/>
      <c r="C45" t="inlineStr"/>
      <c r="D45" t="inlineStr">
        <is>
          <t>70 000</t>
        </is>
      </c>
      <c r="E45" t="inlineStr">
        <is>
          <t>119 000,00</t>
        </is>
      </c>
      <c r="F45" t="inlineStr">
        <is>
          <t>2 975 000,00</t>
        </is>
      </c>
      <c r="G45" t="inlineStr"/>
    </row>
    <row r="46" ht="14" customHeight="1"/>
    <row r="47" ht="18" customHeight="1"/>
    <row r="51" ht="18" customHeight="1"/>
    <row r="56" ht="18" customHeight="1"/>
  </sheetData>
  <mergeCells count="6">
    <mergeCell ref="C46:C51"/>
    <mergeCell ref="C30:C35"/>
    <mergeCell ref="C6:C11"/>
    <mergeCell ref="C38:C43"/>
    <mergeCell ref="C14:C19"/>
    <mergeCell ref="C22:C27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2026-06-01T03:13:58Z</dcterms:created>
  <dcterms:modified xmlns:dcterms="http://purl.org/dc/terms/" xmlns:xsi="http://www.w3.org/2001/XMLSchema-instance" xsi:type="dcterms:W3CDTF">2026-07-13T14:20:24Z</dcterms:modified>
  <cp:lastModifiedBy>Michał Michaluk</cp:lastModifiedBy>
</cp:coreProperties>
</file>